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LARO UMBRELLAS" sheetId="1" r:id="rId4"/>
    <sheet state="visible" name="FIM SHADE SYSTEMS" sheetId="2" r:id="rId5"/>
    <sheet state="visible" name="FIM INTERNAL USE" sheetId="3" r:id="rId6"/>
    <sheet state="visible" name="TEN JAM" sheetId="4" r:id="rId7"/>
    <sheet state="visible" name="FIREPIT SYSTEMS" sheetId="5" r:id="rId8"/>
  </sheets>
  <definedNames>
    <definedName hidden="1" localSheetId="0" name="_xlnm._FilterDatabase">'SCOLARO UMBRELLAS'!$A$3:$J$18</definedName>
    <definedName hidden="1" localSheetId="1" name="_xlnm._FilterDatabase">'FIM SHADE SYSTEMS'!$A$3:$F$8</definedName>
    <definedName hidden="1" localSheetId="2" name="_xlnm._FilterDatabase">'FIM INTERNAL USE'!$A$3:$F$18</definedName>
    <definedName hidden="1" localSheetId="3" name="_xlnm._FilterDatabase">'TEN JAM'!$A$3:$F$149</definedName>
    <definedName hidden="1" localSheetId="4" name="_xlnm._FilterDatabase">'FIREPIT SYSTEMS'!$A$3:$H$32</definedName>
  </definedNames>
  <calcPr/>
  <extLst>
    <ext uri="GoogleSheetsCustomDataVersion2">
      <go:sheetsCustomData xmlns:go="http://customooxmlschemas.google.com/" r:id="rId9" roundtripDataChecksum="L98rc8sRzqeNX0FBaKgQFoJhdOPQc1Hm33Mxzlrrpq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8">
      <text>
        <t xml:space="preserve">======
ID#AAACEkb_RhI
Mia Gutierrez    (2026-07-31 20:37:39)
@clion@ccpatio.com are you ordering these items?
_Assigned to clion@ccpatio.com_</t>
      </text>
    </comment>
    <comment authorId="0" ref="L6">
      <text>
        <t xml:space="preserve">======
ID#AAACEkb_Rg4
Mia Gutierrez    (2026-07-31 20:36:46)
@clion@ccpatio.com if we order the canopies for these do we have the bases and covers?
_Assigned to clion@ccpatio.com_</t>
      </text>
    </comment>
  </commentList>
  <extLst>
    <ext uri="GoogleSheetsCustomDataVersion2">
      <go:sheetsCustomData xmlns:go="http://customooxmlschemas.google.com/" r:id="rId1" roundtripDataSignature="AMtx7micxeOyt/r2mqVcubRuwbjcKOGU4Q=="/>
    </ext>
  </extLst>
</comments>
</file>

<file path=xl/sharedStrings.xml><?xml version="1.0" encoding="utf-8"?>
<sst xmlns="http://schemas.openxmlformats.org/spreadsheetml/2006/main" count="784" uniqueCount="164">
  <si>
    <t>Tenjam Inventory</t>
  </si>
  <si>
    <t>Umbrella Inventory</t>
  </si>
  <si>
    <t>FIM Shade Systems Inventory</t>
  </si>
  <si>
    <t>FIM Internal Use — Flexy Zen Assembly Parts</t>
  </si>
  <si>
    <t>Vendor</t>
  </si>
  <si>
    <t>Type</t>
  </si>
  <si>
    <t>Assembly</t>
  </si>
  <si>
    <t>Color</t>
  </si>
  <si>
    <t>Part</t>
  </si>
  <si>
    <t>In</t>
  </si>
  <si>
    <t>Out</t>
  </si>
  <si>
    <t>Total on Hand</t>
  </si>
  <si>
    <t>CANOPY</t>
  </si>
  <si>
    <t>Tenjam</t>
  </si>
  <si>
    <t>Splash Weight</t>
  </si>
  <si>
    <t>-</t>
  </si>
  <si>
    <t>Size (M)</t>
  </si>
  <si>
    <t>Feet</t>
  </si>
  <si>
    <t>FIM</t>
  </si>
  <si>
    <t>Flexy Zen</t>
  </si>
  <si>
    <t>Shape</t>
  </si>
  <si>
    <t>FLEXY ZEN 300</t>
  </si>
  <si>
    <t>Left Arm</t>
  </si>
  <si>
    <t>Canopy</t>
  </si>
  <si>
    <t>Frame</t>
  </si>
  <si>
    <t>BLUE</t>
  </si>
  <si>
    <t>SCOLARO</t>
  </si>
  <si>
    <t>10'</t>
  </si>
  <si>
    <t>SQ</t>
  </si>
  <si>
    <t>ASTRO</t>
  </si>
  <si>
    <t>ECRU</t>
  </si>
  <si>
    <t>TITANIUM</t>
  </si>
  <si>
    <t>Riser 8"</t>
  </si>
  <si>
    <t>Solid White</t>
  </si>
  <si>
    <t>Shayz Riser Set 4"</t>
  </si>
  <si>
    <t>Ripple Side Table</t>
  </si>
  <si>
    <t>Riser 4"</t>
  </si>
  <si>
    <t>Right Arm</t>
  </si>
  <si>
    <t>EXTRA PIECES</t>
  </si>
  <si>
    <t>2X2 PARASOL FRAME LIDO DARK FRAME ONLY</t>
  </si>
  <si>
    <t>Ripple Tall Table</t>
  </si>
  <si>
    <t>PUMPKIN</t>
  </si>
  <si>
    <t>Base</t>
  </si>
  <si>
    <t>Shayz Riser Set 8"</t>
  </si>
  <si>
    <t>CARBON</t>
  </si>
  <si>
    <t>Baja Club Chair</t>
  </si>
  <si>
    <t>Crystal Topaz</t>
  </si>
  <si>
    <t>Blue Canopy</t>
  </si>
  <si>
    <t>2X2 PARSOL ALUM FRAME LIDO FRAME ONLY</t>
  </si>
  <si>
    <t>Crystal Honey</t>
  </si>
  <si>
    <t>WHITE</t>
  </si>
  <si>
    <t>Cloud Blue</t>
  </si>
  <si>
    <t>Pumpkin Canopy</t>
  </si>
  <si>
    <t>NONE</t>
  </si>
  <si>
    <t>Cloud Gray</t>
  </si>
  <si>
    <t>FLEXY TWIN</t>
  </si>
  <si>
    <t>White Canopy</t>
  </si>
  <si>
    <t>Baja Studio Chair</t>
  </si>
  <si>
    <t>Cross Bars</t>
  </si>
  <si>
    <t>Canvas Canopy</t>
  </si>
  <si>
    <t>Crank System</t>
  </si>
  <si>
    <t>Baja Lounge Table</t>
  </si>
  <si>
    <t>ORANGE</t>
  </si>
  <si>
    <t>Flexy Twin</t>
  </si>
  <si>
    <t>Twin Poles</t>
  </si>
  <si>
    <t>NEED</t>
  </si>
  <si>
    <t>LISA HANSEN SCOLARO BASE W/ WHEELS</t>
  </si>
  <si>
    <t>Baja Side Table/Stool</t>
  </si>
  <si>
    <t>KATHLEEN WHITT SCOLARO BASE WITH WHEELS POWDER COATED WHITE</t>
  </si>
  <si>
    <t>Laylo Lounger</t>
  </si>
  <si>
    <t>White Granite</t>
  </si>
  <si>
    <t>Gray Granite</t>
  </si>
  <si>
    <t>DAVE KRISTEN ANDERSON 2 BASES</t>
  </si>
  <si>
    <t>BASE</t>
  </si>
  <si>
    <t>Light Blue</t>
  </si>
  <si>
    <t>Desert Sandstone</t>
  </si>
  <si>
    <t>COVER</t>
  </si>
  <si>
    <t>Yellow</t>
  </si>
  <si>
    <t>Surf Blue</t>
  </si>
  <si>
    <t>DARK</t>
  </si>
  <si>
    <t>River Rock</t>
  </si>
  <si>
    <t>Laylo Lounger w/ 4" Riser</t>
  </si>
  <si>
    <t>8'</t>
  </si>
  <si>
    <t>RND</t>
  </si>
  <si>
    <t>LIDO</t>
  </si>
  <si>
    <t>7'</t>
  </si>
  <si>
    <t>MARINA</t>
  </si>
  <si>
    <t>Shayz Lounger</t>
  </si>
  <si>
    <t>STORAGE COVERS</t>
  </si>
  <si>
    <t>GRAY</t>
  </si>
  <si>
    <t>Laylo/Shayz Pillow</t>
  </si>
  <si>
    <t>Rad Pads (10-pack)</t>
  </si>
  <si>
    <t>Firepit Systems Inventory — HPC Fire Inserts</t>
  </si>
  <si>
    <t>Category</t>
  </si>
  <si>
    <t>Code</t>
  </si>
  <si>
    <t>Description</t>
  </si>
  <si>
    <t>Gas</t>
  </si>
  <si>
    <t>Drift</t>
  </si>
  <si>
    <t>HPC Fire Inspired</t>
  </si>
  <si>
    <t>Push Button / Flame Sensing</t>
  </si>
  <si>
    <t>TOR-FPPK18-SQBL-FLEX-LP</t>
  </si>
  <si>
    <t>18" Square Bowl — SST Torpedo Push Button/Flame Sensing</t>
  </si>
  <si>
    <t>LP</t>
  </si>
  <si>
    <t>TOR-FPPK36-SQBL-FLEX-NG</t>
  </si>
  <si>
    <t>36" Square Bowl — SST Torpedo Push Button/Flame Sensing</t>
  </si>
  <si>
    <t>NG</t>
  </si>
  <si>
    <t>Laylo Riser Set 4"</t>
  </si>
  <si>
    <t>TOR-FPPK48-TRGH-FLEX-NG</t>
  </si>
  <si>
    <t>48" Linear Trough — SST Torpedo Push Button/Flame Sensing</t>
  </si>
  <si>
    <t>TOR-FPPK48-TRGH-FLEX-LP</t>
  </si>
  <si>
    <t>TOR-FPPK60-TRGH-FLEX-NG</t>
  </si>
  <si>
    <t>60" Linear Trough — SST Torpedo Push Button/Flame Sensing</t>
  </si>
  <si>
    <t>TOR-FPPK60-TRGH-FLEX-LP</t>
  </si>
  <si>
    <t>TOR-FPPK72-TRGH-FLEX-NG</t>
  </si>
  <si>
    <t>72" Linear Trough — SST Torpedo Push Button/Flame Sensing</t>
  </si>
  <si>
    <t>TOR-FPPK72-TRGH-FLEX-LP</t>
  </si>
  <si>
    <t>Match Lit</t>
  </si>
  <si>
    <t>TOR-MLFPK18SQBL-FLEX-NG</t>
  </si>
  <si>
    <t>18" Square Bowl — SST Torpedo Match Lit</t>
  </si>
  <si>
    <t>TOR-MLFPK18SQBL-FLEX-LP</t>
  </si>
  <si>
    <t>Shayz Riser Set 12"</t>
  </si>
  <si>
    <t>MLFPK18SQBL-FLEX-LP</t>
  </si>
  <si>
    <t>18" Square Bowl — Match Lit (prior line, non-Torpedo)</t>
  </si>
  <si>
    <t>TOR-MLFPK24SQ-FLEX-LP</t>
  </si>
  <si>
    <t>24" Square Flat Pan — SST Torpedo Match Lit</t>
  </si>
  <si>
    <t>TOR-MLFPK36 TRGH-FLEX-NG</t>
  </si>
  <si>
    <t>36" Linear Trough — SST Torpedo Match Lit</t>
  </si>
  <si>
    <t>TOR-MLFPK36 TRGH-FLEX-LP</t>
  </si>
  <si>
    <t>MLFPK36 TRGH-FLEX-NG</t>
  </si>
  <si>
    <t>36" Linear Trough — Match Lit (prior line)</t>
  </si>
  <si>
    <t>TOR-MLFPK48 TRGH-FLEX-LP</t>
  </si>
  <si>
    <t>48" Linear Trough — SST Torpedo Match Lit</t>
  </si>
  <si>
    <t>Special / Burner Kit</t>
  </si>
  <si>
    <t>TOR-42X14SSEI-H-HI/LO-NG/120V</t>
  </si>
  <si>
    <t>42 × 14" Rectangle Bowl Pan — Bluetooth w/App, Hi/Lo</t>
  </si>
  <si>
    <t>NG 120V</t>
  </si>
  <si>
    <t>TOR-FPS/TRGH72-LP</t>
  </si>
  <si>
    <t>72" Trough Burner Kit — SST Torpedo (burner only)</t>
  </si>
  <si>
    <t>Fire Glass</t>
  </si>
  <si>
    <t>FPGLBLACK</t>
  </si>
  <si>
    <t>Fire Glass Black</t>
  </si>
  <si>
    <t>—</t>
  </si>
  <si>
    <t>Ripple Tray</t>
  </si>
  <si>
    <t>FPGLBRONZE</t>
  </si>
  <si>
    <t>Fire Glass Bronze</t>
  </si>
  <si>
    <t>FPGLCOPPER</t>
  </si>
  <si>
    <t>Fire Glass Copper</t>
  </si>
  <si>
    <t>FPGLCOBALTBLUE</t>
  </si>
  <si>
    <t>Fire Glass Cobalt Blue</t>
  </si>
  <si>
    <t>FPGLBLACKREFL</t>
  </si>
  <si>
    <t>Fire Glass Black Reflective</t>
  </si>
  <si>
    <t>Planter</t>
  </si>
  <si>
    <t>FPGLGRAYREFLEC</t>
  </si>
  <si>
    <t>Fire Glass Gray Reflective</t>
  </si>
  <si>
    <t>Accessory</t>
  </si>
  <si>
    <t>311-T/C</t>
  </si>
  <si>
    <t>Thermocouple 36" — for EI/HWI units and FPPK blowout box</t>
  </si>
  <si>
    <t>GS KIT</t>
  </si>
  <si>
    <t>GS Kit</t>
  </si>
  <si>
    <t>WG37X19-RECT</t>
  </si>
  <si>
    <t>Wind Guard rectangular 37" × 19"</t>
  </si>
  <si>
    <t>Shayz Lounger Pump</t>
  </si>
  <si>
    <t>TANKS VERTICAL</t>
  </si>
  <si>
    <t>TANKS HORIZONTAL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</si>
</sst>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6.0"/>
      <color theme="1"/>
      <name val="Aptos Narrow"/>
    </font>
    <font>
      <sz val="11.0"/>
      <color theme="1"/>
      <name val="Aptos Narrow"/>
    </font>
    <font>
      <color rgb="FFFFFFFF"/>
      <name val="Aptos Narrow"/>
      <scheme val="minor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rgb="FFFFFFFF"/>
      <name val="Arial"/>
    </font>
    <font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2" fontId="3" numFmtId="0" xfId="0" applyFill="1" applyFont="1"/>
    <xf borderId="0" fillId="2" fontId="4" numFmtId="0" xfId="0" applyAlignment="1" applyFont="1">
      <alignment horizontal="center" vertical="center"/>
    </xf>
    <xf borderId="0" fillId="3" fontId="5" numFmtId="0" xfId="0" applyFill="1" applyFont="1"/>
    <xf borderId="0" fillId="3" fontId="2" numFmtId="3" xfId="0" applyAlignment="1" applyFont="1" applyNumberFormat="1">
      <alignment horizontal="center"/>
    </xf>
    <xf borderId="0" fillId="2" fontId="6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vertical="center"/>
    </xf>
    <xf borderId="0" fillId="3" fontId="7" numFmtId="0" xfId="0" applyAlignment="1" applyFont="1">
      <alignment horizontal="center" readingOrder="0" vertical="center"/>
    </xf>
    <xf borderId="0" fillId="4" fontId="5" numFmtId="0" xfId="0" applyFill="1" applyFont="1"/>
    <xf borderId="0" fillId="4" fontId="2" numFmtId="3" xfId="0" applyAlignment="1" applyFont="1" applyNumberFormat="1">
      <alignment horizontal="center"/>
    </xf>
    <xf borderId="0" fillId="0" fontId="5" numFmtId="0" xfId="0" applyFont="1"/>
    <xf borderId="0" fillId="4" fontId="2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4" fontId="2" numFmtId="3" xfId="0" applyAlignment="1" applyFont="1" applyNumberFormat="1">
      <alignment horizontal="center" vertical="center"/>
    </xf>
    <xf borderId="0" fillId="0" fontId="8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0" fillId="4" fontId="8" numFmtId="0" xfId="0" applyAlignment="1" applyFont="1">
      <alignment readingOrder="0"/>
    </xf>
    <xf borderId="0" fillId="4" fontId="7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4" fontId="2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1.13"/>
    <col customWidth="1" min="3" max="4" width="10.38"/>
    <col customWidth="1" min="5" max="5" width="18.63"/>
    <col customWidth="1" min="6" max="7" width="16.0"/>
    <col customWidth="1" min="8" max="8" width="10.88"/>
    <col customWidth="1" min="9" max="9" width="14.88"/>
    <col customWidth="1" min="10" max="10" width="15.38"/>
    <col customWidth="1" min="11" max="11" width="8.63"/>
    <col customWidth="1" min="12" max="13" width="14.38"/>
    <col customWidth="1" min="14" max="14" width="68.38"/>
    <col customWidth="1" min="15" max="28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4</v>
      </c>
      <c r="B3" s="4" t="s">
        <v>16</v>
      </c>
      <c r="C3" s="7" t="s">
        <v>17</v>
      </c>
      <c r="D3" s="4" t="s">
        <v>20</v>
      </c>
      <c r="E3" s="4" t="s">
        <v>5</v>
      </c>
      <c r="F3" s="4" t="s">
        <v>23</v>
      </c>
      <c r="G3" s="4" t="s">
        <v>24</v>
      </c>
      <c r="H3" s="4" t="s">
        <v>9</v>
      </c>
      <c r="I3" s="4" t="s">
        <v>10</v>
      </c>
      <c r="J3" s="4" t="s">
        <v>11</v>
      </c>
    </row>
    <row r="4">
      <c r="A4" s="5" t="s">
        <v>26</v>
      </c>
      <c r="B4" s="8">
        <v>3.0</v>
      </c>
      <c r="C4" s="10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>
        <v>5.0</v>
      </c>
      <c r="I4" s="8">
        <f>1+2+1</f>
        <v>4</v>
      </c>
      <c r="J4" s="9">
        <f t="shared" ref="J4:J18" si="1">H4-I4</f>
        <v>1</v>
      </c>
      <c r="M4" s="13" t="s">
        <v>38</v>
      </c>
      <c r="N4" s="13" t="s">
        <v>39</v>
      </c>
    </row>
    <row r="5">
      <c r="A5" s="11" t="s">
        <v>26</v>
      </c>
      <c r="B5" s="14">
        <v>3.0</v>
      </c>
      <c r="C5" s="15" t="s">
        <v>27</v>
      </c>
      <c r="D5" s="14" t="s">
        <v>28</v>
      </c>
      <c r="E5" s="14" t="s">
        <v>29</v>
      </c>
      <c r="F5" s="14" t="s">
        <v>30</v>
      </c>
      <c r="G5" s="14" t="s">
        <v>44</v>
      </c>
      <c r="H5" s="14">
        <v>1.0</v>
      </c>
      <c r="I5" s="14">
        <v>0.0</v>
      </c>
      <c r="J5" s="16">
        <f t="shared" si="1"/>
        <v>1</v>
      </c>
      <c r="N5" s="13" t="s">
        <v>48</v>
      </c>
    </row>
    <row r="6">
      <c r="A6" s="5" t="s">
        <v>26</v>
      </c>
      <c r="B6" s="8">
        <v>3.0</v>
      </c>
      <c r="C6" s="10" t="s">
        <v>27</v>
      </c>
      <c r="D6" s="8" t="s">
        <v>28</v>
      </c>
      <c r="E6" s="8" t="s">
        <v>29</v>
      </c>
      <c r="F6" s="8" t="s">
        <v>53</v>
      </c>
      <c r="G6" s="8" t="s">
        <v>44</v>
      </c>
      <c r="H6" s="8">
        <v>3.0</v>
      </c>
      <c r="I6" s="8">
        <f>2+1</f>
        <v>3</v>
      </c>
      <c r="J6" s="9">
        <f t="shared" si="1"/>
        <v>0</v>
      </c>
      <c r="L6" s="17"/>
    </row>
    <row r="7">
      <c r="A7" s="11" t="s">
        <v>26</v>
      </c>
      <c r="B7" s="14">
        <v>3.0</v>
      </c>
      <c r="C7" s="15" t="s">
        <v>27</v>
      </c>
      <c r="D7" s="14" t="s">
        <v>28</v>
      </c>
      <c r="E7" s="14" t="s">
        <v>29</v>
      </c>
      <c r="F7" s="14" t="s">
        <v>30</v>
      </c>
      <c r="G7" s="14" t="s">
        <v>53</v>
      </c>
      <c r="H7" s="14">
        <v>6.0</v>
      </c>
      <c r="I7" s="14">
        <f>2</f>
        <v>2</v>
      </c>
      <c r="J7" s="16">
        <f t="shared" si="1"/>
        <v>4</v>
      </c>
    </row>
    <row r="8">
      <c r="A8" s="5" t="s">
        <v>26</v>
      </c>
      <c r="B8" s="8">
        <v>3.0</v>
      </c>
      <c r="C8" s="10" t="s">
        <v>27</v>
      </c>
      <c r="D8" s="8" t="s">
        <v>28</v>
      </c>
      <c r="E8" s="8" t="s">
        <v>29</v>
      </c>
      <c r="F8" s="8" t="s">
        <v>62</v>
      </c>
      <c r="G8" s="8" t="s">
        <v>53</v>
      </c>
      <c r="H8" s="8">
        <v>4.0</v>
      </c>
      <c r="I8" s="8">
        <v>0.0</v>
      </c>
      <c r="J8" s="9">
        <f t="shared" si="1"/>
        <v>4</v>
      </c>
      <c r="M8" s="13" t="s">
        <v>65</v>
      </c>
      <c r="N8" s="13" t="s">
        <v>66</v>
      </c>
    </row>
    <row r="9">
      <c r="A9" s="11" t="s">
        <v>26</v>
      </c>
      <c r="B9" s="14">
        <v>3.0</v>
      </c>
      <c r="C9" s="15" t="s">
        <v>27</v>
      </c>
      <c r="D9" s="14" t="s">
        <v>28</v>
      </c>
      <c r="E9" s="14" t="s">
        <v>29</v>
      </c>
      <c r="F9" s="14" t="s">
        <v>50</v>
      </c>
      <c r="G9" s="14" t="s">
        <v>53</v>
      </c>
      <c r="H9" s="14">
        <v>1.0</v>
      </c>
      <c r="I9" s="15">
        <f>1</f>
        <v>1</v>
      </c>
      <c r="J9" s="16">
        <f t="shared" si="1"/>
        <v>0</v>
      </c>
      <c r="N9" s="13" t="s">
        <v>68</v>
      </c>
    </row>
    <row r="10">
      <c r="A10" s="5" t="s">
        <v>26</v>
      </c>
      <c r="B10" s="8">
        <v>3.0</v>
      </c>
      <c r="C10" s="10" t="s">
        <v>27</v>
      </c>
      <c r="D10" s="8" t="s">
        <v>28</v>
      </c>
      <c r="E10" s="10" t="s">
        <v>29</v>
      </c>
      <c r="F10" s="8" t="s">
        <v>53</v>
      </c>
      <c r="G10" s="8" t="s">
        <v>31</v>
      </c>
      <c r="H10" s="9">
        <v>6.0</v>
      </c>
      <c r="I10" s="9">
        <v>0.0</v>
      </c>
      <c r="J10" s="9">
        <f t="shared" si="1"/>
        <v>6</v>
      </c>
      <c r="N10" s="17" t="s">
        <v>72</v>
      </c>
    </row>
    <row r="11">
      <c r="A11" s="11" t="s">
        <v>26</v>
      </c>
      <c r="B11" s="14" t="s">
        <v>73</v>
      </c>
      <c r="C11" s="14"/>
      <c r="D11" s="14" t="s">
        <v>28</v>
      </c>
      <c r="E11" s="14" t="s">
        <v>29</v>
      </c>
      <c r="F11" s="14" t="s">
        <v>53</v>
      </c>
      <c r="G11" s="14" t="s">
        <v>53</v>
      </c>
      <c r="H11" s="14">
        <v>8.0</v>
      </c>
      <c r="I11" s="14">
        <f t="shared" ref="I11:I13" si="2">2+1</f>
        <v>3</v>
      </c>
      <c r="J11" s="16">
        <f t="shared" si="1"/>
        <v>5</v>
      </c>
    </row>
    <row r="12">
      <c r="A12" s="5" t="s">
        <v>26</v>
      </c>
      <c r="B12" s="8" t="s">
        <v>76</v>
      </c>
      <c r="C12" s="8"/>
      <c r="D12" s="8" t="s">
        <v>28</v>
      </c>
      <c r="E12" s="8" t="s">
        <v>29</v>
      </c>
      <c r="F12" s="8" t="s">
        <v>53</v>
      </c>
      <c r="G12" s="8" t="s">
        <v>79</v>
      </c>
      <c r="H12" s="8">
        <v>4.0</v>
      </c>
      <c r="I12" s="8">
        <f t="shared" si="2"/>
        <v>3</v>
      </c>
      <c r="J12" s="9">
        <f t="shared" si="1"/>
        <v>1</v>
      </c>
    </row>
    <row r="13">
      <c r="A13" s="11" t="s">
        <v>26</v>
      </c>
      <c r="B13" s="14">
        <v>2.5</v>
      </c>
      <c r="C13" s="15" t="s">
        <v>82</v>
      </c>
      <c r="D13" s="14" t="s">
        <v>83</v>
      </c>
      <c r="E13" s="14" t="s">
        <v>84</v>
      </c>
      <c r="F13" s="14" t="s">
        <v>30</v>
      </c>
      <c r="G13" s="14" t="s">
        <v>79</v>
      </c>
      <c r="H13" s="16">
        <v>7.0</v>
      </c>
      <c r="I13" s="23">
        <f t="shared" si="2"/>
        <v>3</v>
      </c>
      <c r="J13" s="16">
        <f t="shared" si="1"/>
        <v>4</v>
      </c>
    </row>
    <row r="14">
      <c r="A14" s="5" t="s">
        <v>26</v>
      </c>
      <c r="B14" s="8">
        <v>2.0</v>
      </c>
      <c r="C14" s="10" t="s">
        <v>85</v>
      </c>
      <c r="D14" s="8" t="s">
        <v>28</v>
      </c>
      <c r="E14" s="8" t="s">
        <v>86</v>
      </c>
      <c r="F14" s="8" t="s">
        <v>30</v>
      </c>
      <c r="G14" s="8" t="s">
        <v>31</v>
      </c>
      <c r="H14" s="9">
        <v>16.0</v>
      </c>
      <c r="I14" s="9">
        <f>1+2+1+1+1+1+2+2</f>
        <v>11</v>
      </c>
      <c r="J14" s="9">
        <f t="shared" si="1"/>
        <v>5</v>
      </c>
    </row>
    <row r="15">
      <c r="A15" s="11" t="s">
        <v>26</v>
      </c>
      <c r="B15" s="14">
        <v>2.0</v>
      </c>
      <c r="C15" s="15" t="s">
        <v>85</v>
      </c>
      <c r="D15" s="14" t="s">
        <v>28</v>
      </c>
      <c r="E15" s="14" t="s">
        <v>86</v>
      </c>
      <c r="F15" s="14" t="s">
        <v>50</v>
      </c>
      <c r="G15" s="14" t="s">
        <v>31</v>
      </c>
      <c r="H15" s="16">
        <v>15.0</v>
      </c>
      <c r="I15" s="16">
        <f>1+1</f>
        <v>2</v>
      </c>
      <c r="J15" s="16">
        <f t="shared" si="1"/>
        <v>13</v>
      </c>
    </row>
    <row r="16">
      <c r="A16" s="5" t="s">
        <v>26</v>
      </c>
      <c r="B16" s="8">
        <v>2.0</v>
      </c>
      <c r="C16" s="10" t="s">
        <v>85</v>
      </c>
      <c r="D16" s="8" t="s">
        <v>28</v>
      </c>
      <c r="E16" s="8" t="s">
        <v>86</v>
      </c>
      <c r="F16" s="8" t="s">
        <v>50</v>
      </c>
      <c r="G16" s="8" t="s">
        <v>53</v>
      </c>
      <c r="H16" s="8">
        <v>2.0</v>
      </c>
      <c r="I16" s="8">
        <v>0.0</v>
      </c>
      <c r="J16" s="9">
        <f t="shared" si="1"/>
        <v>2</v>
      </c>
    </row>
    <row r="17">
      <c r="A17" s="11" t="s">
        <v>26</v>
      </c>
      <c r="B17" s="14">
        <v>2.0</v>
      </c>
      <c r="C17" s="15" t="s">
        <v>85</v>
      </c>
      <c r="D17" s="14" t="s">
        <v>28</v>
      </c>
      <c r="E17" s="14" t="s">
        <v>86</v>
      </c>
      <c r="F17" s="14" t="s">
        <v>30</v>
      </c>
      <c r="G17" s="14" t="s">
        <v>53</v>
      </c>
      <c r="H17" s="14">
        <v>4.0</v>
      </c>
      <c r="I17" s="14">
        <v>0.0</v>
      </c>
      <c r="J17" s="16">
        <f t="shared" si="1"/>
        <v>4</v>
      </c>
    </row>
    <row r="18">
      <c r="A18" s="5" t="s">
        <v>26</v>
      </c>
      <c r="B18" s="8">
        <v>2.0</v>
      </c>
      <c r="C18" s="10" t="s">
        <v>85</v>
      </c>
      <c r="D18" s="8" t="s">
        <v>28</v>
      </c>
      <c r="E18" s="8" t="s">
        <v>88</v>
      </c>
      <c r="F18" s="8" t="s">
        <v>89</v>
      </c>
      <c r="G18" s="8" t="s">
        <v>53</v>
      </c>
      <c r="H18" s="8">
        <v>51.0</v>
      </c>
      <c r="I18" s="8">
        <v>0.0</v>
      </c>
      <c r="J18" s="9">
        <f t="shared" si="1"/>
        <v>51</v>
      </c>
    </row>
    <row r="19"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</row>
  </sheetData>
  <autoFilter ref="$A$3:$J$18">
    <sortState ref="A3:J18">
      <sortCondition ref="E3:E18"/>
      <sortCondition ref="B3:B18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8.13"/>
    <col customWidth="1" min="7" max="26" width="8.63"/>
  </cols>
  <sheetData>
    <row r="1">
      <c r="A1" s="1" t="s">
        <v>2</v>
      </c>
    </row>
    <row r="3">
      <c r="A3" s="3" t="s">
        <v>4</v>
      </c>
      <c r="B3" s="4" t="s">
        <v>5</v>
      </c>
      <c r="C3" s="4" t="s">
        <v>12</v>
      </c>
      <c r="D3" s="4" t="s">
        <v>9</v>
      </c>
      <c r="E3" s="4" t="s">
        <v>10</v>
      </c>
      <c r="F3" s="4" t="s">
        <v>11</v>
      </c>
    </row>
    <row r="4">
      <c r="A4" s="5" t="s">
        <v>18</v>
      </c>
      <c r="B4" s="8" t="s">
        <v>21</v>
      </c>
      <c r="C4" s="8" t="s">
        <v>25</v>
      </c>
      <c r="D4" s="9">
        <v>1.0</v>
      </c>
      <c r="E4" s="9">
        <v>0.0</v>
      </c>
      <c r="F4" s="9">
        <f t="shared" ref="F4:F9" si="1">D4-E4</f>
        <v>1</v>
      </c>
    </row>
    <row r="5">
      <c r="A5" s="11" t="s">
        <v>18</v>
      </c>
      <c r="B5" s="14" t="s">
        <v>21</v>
      </c>
      <c r="C5" s="14" t="s">
        <v>41</v>
      </c>
      <c r="D5" s="16">
        <v>1.0</v>
      </c>
      <c r="E5" s="16">
        <v>0.0</v>
      </c>
      <c r="F5" s="16">
        <f t="shared" si="1"/>
        <v>1</v>
      </c>
    </row>
    <row r="6">
      <c r="A6" s="5" t="s">
        <v>18</v>
      </c>
      <c r="B6" s="8" t="s">
        <v>21</v>
      </c>
      <c r="C6" s="8" t="s">
        <v>50</v>
      </c>
      <c r="D6" s="9">
        <v>3.0</v>
      </c>
      <c r="E6" s="9">
        <v>0.0</v>
      </c>
      <c r="F6" s="9">
        <f t="shared" si="1"/>
        <v>3</v>
      </c>
    </row>
    <row r="7">
      <c r="A7" s="11" t="s">
        <v>18</v>
      </c>
      <c r="B7" s="14" t="s">
        <v>55</v>
      </c>
      <c r="C7" s="14" t="s">
        <v>41</v>
      </c>
      <c r="D7" s="14">
        <v>1.0</v>
      </c>
      <c r="E7" s="14">
        <v>0.0</v>
      </c>
      <c r="F7" s="16">
        <f t="shared" si="1"/>
        <v>1</v>
      </c>
    </row>
    <row r="8">
      <c r="A8" s="5" t="s">
        <v>18</v>
      </c>
      <c r="B8" s="8" t="s">
        <v>55</v>
      </c>
      <c r="C8" s="8" t="s">
        <v>25</v>
      </c>
      <c r="D8" s="8">
        <v>1.0</v>
      </c>
      <c r="E8" s="8">
        <v>0.0</v>
      </c>
      <c r="F8" s="9">
        <f t="shared" si="1"/>
        <v>1</v>
      </c>
    </row>
    <row r="9">
      <c r="A9" s="18" t="s">
        <v>18</v>
      </c>
      <c r="B9" s="19" t="s">
        <v>55</v>
      </c>
      <c r="C9" s="20" t="s">
        <v>59</v>
      </c>
      <c r="D9" s="19">
        <v>1.0</v>
      </c>
      <c r="E9" s="19">
        <v>0.0</v>
      </c>
      <c r="F9" s="21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2.0"/>
    <col customWidth="1" min="3" max="3" width="16.0"/>
    <col customWidth="1" min="4" max="4" width="5.0"/>
    <col customWidth="1" min="5" max="5" width="6.63"/>
    <col customWidth="1" min="6" max="6" width="15.75"/>
    <col customWidth="1" min="7" max="26" width="34.75"/>
  </cols>
  <sheetData>
    <row r="1">
      <c r="A1" s="1" t="s">
        <v>3</v>
      </c>
    </row>
    <row r="3">
      <c r="A3" s="3" t="s">
        <v>4</v>
      </c>
      <c r="B3" s="3" t="s">
        <v>6</v>
      </c>
      <c r="C3" s="3" t="s">
        <v>8</v>
      </c>
      <c r="D3" s="3" t="s">
        <v>9</v>
      </c>
      <c r="E3" s="3" t="s">
        <v>10</v>
      </c>
      <c r="F3" s="3" t="s">
        <v>11</v>
      </c>
    </row>
    <row r="4">
      <c r="A4" s="5" t="s">
        <v>18</v>
      </c>
      <c r="B4" s="5" t="s">
        <v>19</v>
      </c>
      <c r="C4" s="5" t="s">
        <v>22</v>
      </c>
      <c r="D4" s="6">
        <v>7.0</v>
      </c>
      <c r="E4" s="6">
        <v>0.0</v>
      </c>
      <c r="F4" s="6">
        <f t="shared" ref="F4:F18" si="1">D4-E4</f>
        <v>7</v>
      </c>
    </row>
    <row r="5">
      <c r="A5" s="11" t="s">
        <v>18</v>
      </c>
      <c r="B5" s="11" t="s">
        <v>19</v>
      </c>
      <c r="C5" s="11" t="s">
        <v>37</v>
      </c>
      <c r="D5" s="12">
        <v>7.0</v>
      </c>
      <c r="E5" s="12">
        <v>0.0</v>
      </c>
      <c r="F5" s="12">
        <f t="shared" si="1"/>
        <v>7</v>
      </c>
    </row>
    <row r="6">
      <c r="A6" s="5" t="s">
        <v>18</v>
      </c>
      <c r="B6" s="5" t="s">
        <v>19</v>
      </c>
      <c r="C6" s="5" t="s">
        <v>42</v>
      </c>
      <c r="D6" s="6">
        <v>6.0</v>
      </c>
      <c r="E6" s="6">
        <v>0.0</v>
      </c>
      <c r="F6" s="6">
        <f t="shared" si="1"/>
        <v>6</v>
      </c>
    </row>
    <row r="7">
      <c r="A7" s="11" t="s">
        <v>18</v>
      </c>
      <c r="B7" s="11" t="s">
        <v>19</v>
      </c>
      <c r="C7" s="11" t="s">
        <v>47</v>
      </c>
      <c r="D7" s="12">
        <v>1.0</v>
      </c>
      <c r="E7" s="12">
        <v>0.0</v>
      </c>
      <c r="F7" s="12">
        <f t="shared" si="1"/>
        <v>1</v>
      </c>
    </row>
    <row r="8">
      <c r="A8" s="5" t="s">
        <v>18</v>
      </c>
      <c r="B8" s="5" t="s">
        <v>19</v>
      </c>
      <c r="C8" s="5" t="s">
        <v>52</v>
      </c>
      <c r="D8" s="6">
        <v>1.0</v>
      </c>
      <c r="E8" s="6">
        <v>0.0</v>
      </c>
      <c r="F8" s="6">
        <f t="shared" si="1"/>
        <v>1</v>
      </c>
    </row>
    <row r="9">
      <c r="A9" s="11" t="s">
        <v>18</v>
      </c>
      <c r="B9" s="11" t="s">
        <v>19</v>
      </c>
      <c r="C9" s="11" t="s">
        <v>56</v>
      </c>
      <c r="D9" s="12">
        <v>3.0</v>
      </c>
      <c r="E9" s="12">
        <v>0.0</v>
      </c>
      <c r="F9" s="12">
        <f t="shared" si="1"/>
        <v>3</v>
      </c>
    </row>
    <row r="10">
      <c r="A10" s="5" t="s">
        <v>18</v>
      </c>
      <c r="B10" s="5" t="s">
        <v>19</v>
      </c>
      <c r="C10" s="5" t="s">
        <v>58</v>
      </c>
      <c r="D10" s="6">
        <v>0.0</v>
      </c>
      <c r="E10" s="6">
        <v>0.0</v>
      </c>
      <c r="F10" s="6">
        <f t="shared" si="1"/>
        <v>0</v>
      </c>
    </row>
    <row r="11">
      <c r="A11" s="11" t="s">
        <v>18</v>
      </c>
      <c r="B11" s="11" t="s">
        <v>19</v>
      </c>
      <c r="C11" s="11" t="s">
        <v>60</v>
      </c>
      <c r="D11" s="12">
        <v>0.0</v>
      </c>
      <c r="E11" s="12">
        <v>0.0</v>
      </c>
      <c r="F11" s="12">
        <f t="shared" si="1"/>
        <v>0</v>
      </c>
    </row>
    <row r="12">
      <c r="A12" s="5" t="s">
        <v>18</v>
      </c>
      <c r="B12" s="5" t="s">
        <v>63</v>
      </c>
      <c r="C12" s="5" t="s">
        <v>64</v>
      </c>
      <c r="D12" s="6">
        <v>3.0</v>
      </c>
      <c r="E12" s="6">
        <v>0.0</v>
      </c>
      <c r="F12" s="6">
        <f t="shared" si="1"/>
        <v>3</v>
      </c>
    </row>
    <row r="13">
      <c r="A13" s="11" t="s">
        <v>18</v>
      </c>
      <c r="B13" s="11" t="s">
        <v>63</v>
      </c>
      <c r="C13" s="11" t="s">
        <v>56</v>
      </c>
      <c r="D13" s="12">
        <v>1.0</v>
      </c>
      <c r="E13" s="12">
        <v>0.0</v>
      </c>
      <c r="F13" s="12">
        <f t="shared" si="1"/>
        <v>1</v>
      </c>
    </row>
    <row r="14">
      <c r="A14" s="5" t="s">
        <v>18</v>
      </c>
      <c r="B14" s="5" t="s">
        <v>63</v>
      </c>
      <c r="C14" s="5" t="s">
        <v>52</v>
      </c>
      <c r="D14" s="6">
        <v>1.0</v>
      </c>
      <c r="E14" s="6">
        <v>0.0</v>
      </c>
      <c r="F14" s="6">
        <f t="shared" si="1"/>
        <v>1</v>
      </c>
    </row>
    <row r="15">
      <c r="A15" s="11" t="s">
        <v>18</v>
      </c>
      <c r="B15" s="11" t="s">
        <v>63</v>
      </c>
      <c r="C15" s="22" t="s">
        <v>59</v>
      </c>
      <c r="D15" s="12">
        <v>1.0</v>
      </c>
      <c r="E15" s="12">
        <v>0.0</v>
      </c>
      <c r="F15" s="12">
        <f t="shared" si="1"/>
        <v>1</v>
      </c>
    </row>
    <row r="16">
      <c r="A16" s="5" t="s">
        <v>18</v>
      </c>
      <c r="B16" s="5" t="s">
        <v>63</v>
      </c>
      <c r="C16" s="5" t="s">
        <v>47</v>
      </c>
      <c r="D16" s="6">
        <v>1.0</v>
      </c>
      <c r="E16" s="6">
        <v>0.0</v>
      </c>
      <c r="F16" s="6">
        <f t="shared" si="1"/>
        <v>1</v>
      </c>
    </row>
    <row r="17">
      <c r="A17" s="11" t="s">
        <v>18</v>
      </c>
      <c r="B17" s="11" t="s">
        <v>63</v>
      </c>
      <c r="C17" s="11" t="s">
        <v>42</v>
      </c>
      <c r="D17" s="12">
        <v>0.0</v>
      </c>
      <c r="E17" s="12">
        <v>0.0</v>
      </c>
      <c r="F17" s="12">
        <f t="shared" si="1"/>
        <v>0</v>
      </c>
    </row>
    <row r="18">
      <c r="A18" s="5" t="s">
        <v>18</v>
      </c>
      <c r="B18" s="5" t="s">
        <v>63</v>
      </c>
      <c r="C18" s="5" t="s">
        <v>60</v>
      </c>
      <c r="D18" s="6">
        <v>3.0</v>
      </c>
      <c r="E18" s="6">
        <v>0.0</v>
      </c>
      <c r="F18" s="6">
        <f t="shared" si="1"/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8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3.0"/>
    <col customWidth="1" min="3" max="3" width="16.38"/>
    <col customWidth="1" min="4" max="4" width="5.0"/>
    <col customWidth="1" min="5" max="5" width="6.63"/>
    <col customWidth="1" min="6" max="6" width="15.75"/>
    <col customWidth="1" min="7" max="26" width="8.63"/>
  </cols>
  <sheetData>
    <row r="1">
      <c r="A1" s="1" t="s">
        <v>0</v>
      </c>
    </row>
    <row r="3">
      <c r="A3" s="3" t="s">
        <v>4</v>
      </c>
      <c r="B3" s="3" t="s">
        <v>5</v>
      </c>
      <c r="C3" s="3" t="s">
        <v>7</v>
      </c>
      <c r="D3" s="3" t="s">
        <v>9</v>
      </c>
      <c r="E3" s="3" t="s">
        <v>10</v>
      </c>
      <c r="F3" s="3" t="s">
        <v>11</v>
      </c>
    </row>
    <row r="4">
      <c r="A4" s="5" t="s">
        <v>13</v>
      </c>
      <c r="B4" s="5" t="s">
        <v>14</v>
      </c>
      <c r="C4" s="5" t="s">
        <v>15</v>
      </c>
      <c r="D4" s="6">
        <v>12.0</v>
      </c>
      <c r="E4" s="6">
        <v>0.0</v>
      </c>
      <c r="F4" s="6">
        <f t="shared" ref="F4:F149" si="1">D4-E4</f>
        <v>12</v>
      </c>
    </row>
    <row r="5">
      <c r="A5" s="11" t="s">
        <v>13</v>
      </c>
      <c r="B5" s="11" t="s">
        <v>32</v>
      </c>
      <c r="C5" s="11" t="s">
        <v>33</v>
      </c>
      <c r="D5" s="12">
        <v>12.0</v>
      </c>
      <c r="E5" s="12">
        <v>0.0</v>
      </c>
      <c r="F5" s="12">
        <f t="shared" si="1"/>
        <v>12</v>
      </c>
    </row>
    <row r="6">
      <c r="A6" s="5" t="s">
        <v>13</v>
      </c>
      <c r="B6" s="5" t="s">
        <v>34</v>
      </c>
      <c r="C6" s="5" t="s">
        <v>33</v>
      </c>
      <c r="D6" s="6">
        <v>6.0</v>
      </c>
      <c r="E6" s="6">
        <v>0.0</v>
      </c>
      <c r="F6" s="6">
        <f t="shared" si="1"/>
        <v>6</v>
      </c>
    </row>
    <row r="7">
      <c r="A7" s="11" t="s">
        <v>13</v>
      </c>
      <c r="B7" s="11" t="s">
        <v>35</v>
      </c>
      <c r="C7" s="11" t="s">
        <v>33</v>
      </c>
      <c r="D7" s="12">
        <v>6.0</v>
      </c>
      <c r="E7" s="12">
        <f>1</f>
        <v>1</v>
      </c>
      <c r="F7" s="12">
        <f t="shared" si="1"/>
        <v>5</v>
      </c>
    </row>
    <row r="8">
      <c r="A8" s="5" t="s">
        <v>13</v>
      </c>
      <c r="B8" s="5" t="s">
        <v>36</v>
      </c>
      <c r="C8" s="5" t="s">
        <v>33</v>
      </c>
      <c r="D8" s="6">
        <v>6.0</v>
      </c>
      <c r="E8" s="6">
        <v>0.0</v>
      </c>
      <c r="F8" s="6">
        <f t="shared" si="1"/>
        <v>6</v>
      </c>
    </row>
    <row r="9">
      <c r="A9" s="11" t="s">
        <v>13</v>
      </c>
      <c r="B9" s="11" t="s">
        <v>40</v>
      </c>
      <c r="C9" s="11" t="s">
        <v>33</v>
      </c>
      <c r="D9" s="12">
        <v>5.0</v>
      </c>
      <c r="E9" s="12">
        <v>0.0</v>
      </c>
      <c r="F9" s="12">
        <f t="shared" si="1"/>
        <v>5</v>
      </c>
    </row>
    <row r="10">
      <c r="A10" s="5" t="s">
        <v>13</v>
      </c>
      <c r="B10" s="5" t="s">
        <v>43</v>
      </c>
      <c r="C10" s="5" t="s">
        <v>33</v>
      </c>
      <c r="D10" s="6">
        <v>4.0</v>
      </c>
      <c r="E10" s="6">
        <v>0.0</v>
      </c>
      <c r="F10" s="6">
        <f t="shared" si="1"/>
        <v>4</v>
      </c>
    </row>
    <row r="11">
      <c r="A11" s="11" t="s">
        <v>13</v>
      </c>
      <c r="B11" s="11" t="s">
        <v>45</v>
      </c>
      <c r="C11" s="11" t="s">
        <v>46</v>
      </c>
      <c r="D11" s="12">
        <v>0.0</v>
      </c>
      <c r="E11" s="12">
        <v>0.0</v>
      </c>
      <c r="F11" s="12">
        <f t="shared" si="1"/>
        <v>0</v>
      </c>
    </row>
    <row r="12">
      <c r="A12" s="5" t="s">
        <v>13</v>
      </c>
      <c r="B12" s="5" t="s">
        <v>45</v>
      </c>
      <c r="C12" s="5" t="s">
        <v>49</v>
      </c>
      <c r="D12" s="6">
        <v>0.0</v>
      </c>
      <c r="E12" s="6">
        <v>0.0</v>
      </c>
      <c r="F12" s="6">
        <f t="shared" si="1"/>
        <v>0</v>
      </c>
    </row>
    <row r="13">
      <c r="A13" s="11" t="s">
        <v>13</v>
      </c>
      <c r="B13" s="11" t="s">
        <v>45</v>
      </c>
      <c r="C13" s="11" t="s">
        <v>51</v>
      </c>
      <c r="D13" s="12">
        <v>0.0</v>
      </c>
      <c r="E13" s="12">
        <v>0.0</v>
      </c>
      <c r="F13" s="12">
        <f t="shared" si="1"/>
        <v>0</v>
      </c>
    </row>
    <row r="14">
      <c r="A14" s="5" t="s">
        <v>13</v>
      </c>
      <c r="B14" s="5" t="s">
        <v>45</v>
      </c>
      <c r="C14" s="5" t="s">
        <v>54</v>
      </c>
      <c r="D14" s="6">
        <v>0.0</v>
      </c>
      <c r="E14" s="6">
        <v>0.0</v>
      </c>
      <c r="F14" s="6">
        <f t="shared" si="1"/>
        <v>0</v>
      </c>
    </row>
    <row r="15">
      <c r="A15" s="11" t="s">
        <v>13</v>
      </c>
      <c r="B15" s="11" t="s">
        <v>57</v>
      </c>
      <c r="C15" s="11" t="s">
        <v>46</v>
      </c>
      <c r="D15" s="12">
        <v>0.0</v>
      </c>
      <c r="E15" s="12">
        <v>0.0</v>
      </c>
      <c r="F15" s="12">
        <f t="shared" si="1"/>
        <v>0</v>
      </c>
    </row>
    <row r="16">
      <c r="A16" s="5" t="s">
        <v>13</v>
      </c>
      <c r="B16" s="5" t="s">
        <v>57</v>
      </c>
      <c r="C16" s="5" t="s">
        <v>49</v>
      </c>
      <c r="D16" s="6">
        <v>0.0</v>
      </c>
      <c r="E16" s="6">
        <v>0.0</v>
      </c>
      <c r="F16" s="6">
        <f t="shared" si="1"/>
        <v>0</v>
      </c>
    </row>
    <row r="17">
      <c r="A17" s="11" t="s">
        <v>13</v>
      </c>
      <c r="B17" s="11" t="s">
        <v>57</v>
      </c>
      <c r="C17" s="11" t="s">
        <v>51</v>
      </c>
      <c r="D17" s="12">
        <v>0.0</v>
      </c>
      <c r="E17" s="12">
        <v>0.0</v>
      </c>
      <c r="F17" s="12">
        <f t="shared" si="1"/>
        <v>0</v>
      </c>
    </row>
    <row r="18">
      <c r="A18" s="5" t="s">
        <v>13</v>
      </c>
      <c r="B18" s="5" t="s">
        <v>57</v>
      </c>
      <c r="C18" s="5" t="s">
        <v>54</v>
      </c>
      <c r="D18" s="6">
        <v>0.0</v>
      </c>
      <c r="E18" s="6">
        <v>0.0</v>
      </c>
      <c r="F18" s="6">
        <f t="shared" si="1"/>
        <v>0</v>
      </c>
    </row>
    <row r="19">
      <c r="A19" s="11" t="s">
        <v>13</v>
      </c>
      <c r="B19" s="11" t="s">
        <v>61</v>
      </c>
      <c r="C19" s="11" t="s">
        <v>46</v>
      </c>
      <c r="D19" s="12">
        <v>0.0</v>
      </c>
      <c r="E19" s="12">
        <v>0.0</v>
      </c>
      <c r="F19" s="12">
        <f t="shared" si="1"/>
        <v>0</v>
      </c>
    </row>
    <row r="20">
      <c r="A20" s="5" t="s">
        <v>13</v>
      </c>
      <c r="B20" s="5" t="s">
        <v>61</v>
      </c>
      <c r="C20" s="5" t="s">
        <v>49</v>
      </c>
      <c r="D20" s="6">
        <v>0.0</v>
      </c>
      <c r="E20" s="6">
        <v>0.0</v>
      </c>
      <c r="F20" s="6">
        <f t="shared" si="1"/>
        <v>0</v>
      </c>
    </row>
    <row r="21" ht="15.75" customHeight="1">
      <c r="A21" s="11" t="s">
        <v>13</v>
      </c>
      <c r="B21" s="11" t="s">
        <v>61</v>
      </c>
      <c r="C21" s="11" t="s">
        <v>51</v>
      </c>
      <c r="D21" s="12">
        <v>0.0</v>
      </c>
      <c r="E21" s="12">
        <v>0.0</v>
      </c>
      <c r="F21" s="12">
        <f t="shared" si="1"/>
        <v>0</v>
      </c>
    </row>
    <row r="22" ht="15.75" customHeight="1">
      <c r="A22" s="5" t="s">
        <v>13</v>
      </c>
      <c r="B22" s="5" t="s">
        <v>61</v>
      </c>
      <c r="C22" s="5" t="s">
        <v>54</v>
      </c>
      <c r="D22" s="6">
        <v>0.0</v>
      </c>
      <c r="E22" s="6">
        <v>0.0</v>
      </c>
      <c r="F22" s="6">
        <f t="shared" si="1"/>
        <v>0</v>
      </c>
    </row>
    <row r="23" ht="15.75" customHeight="1">
      <c r="A23" s="11" t="s">
        <v>13</v>
      </c>
      <c r="B23" s="11" t="s">
        <v>67</v>
      </c>
      <c r="C23" s="11" t="s">
        <v>46</v>
      </c>
      <c r="D23" s="12">
        <v>0.0</v>
      </c>
      <c r="E23" s="12">
        <v>0.0</v>
      </c>
      <c r="F23" s="12">
        <f t="shared" si="1"/>
        <v>0</v>
      </c>
    </row>
    <row r="24" ht="15.75" customHeight="1">
      <c r="A24" s="5" t="s">
        <v>13</v>
      </c>
      <c r="B24" s="5" t="s">
        <v>67</v>
      </c>
      <c r="C24" s="5" t="s">
        <v>49</v>
      </c>
      <c r="D24" s="6">
        <v>0.0</v>
      </c>
      <c r="E24" s="6">
        <v>0.0</v>
      </c>
      <c r="F24" s="6">
        <f t="shared" si="1"/>
        <v>0</v>
      </c>
    </row>
    <row r="25" ht="15.75" customHeight="1">
      <c r="A25" s="11" t="s">
        <v>13</v>
      </c>
      <c r="B25" s="11" t="s">
        <v>67</v>
      </c>
      <c r="C25" s="11" t="s">
        <v>51</v>
      </c>
      <c r="D25" s="12">
        <v>0.0</v>
      </c>
      <c r="E25" s="12">
        <v>0.0</v>
      </c>
      <c r="F25" s="12">
        <f t="shared" si="1"/>
        <v>0</v>
      </c>
    </row>
    <row r="26" ht="15.75" customHeight="1">
      <c r="A26" s="5" t="s">
        <v>13</v>
      </c>
      <c r="B26" s="5" t="s">
        <v>67</v>
      </c>
      <c r="C26" s="5" t="s">
        <v>54</v>
      </c>
      <c r="D26" s="6">
        <v>0.0</v>
      </c>
      <c r="E26" s="6">
        <v>0.0</v>
      </c>
      <c r="F26" s="6">
        <f t="shared" si="1"/>
        <v>0</v>
      </c>
    </row>
    <row r="27" ht="15.75" customHeight="1">
      <c r="A27" s="11" t="s">
        <v>13</v>
      </c>
      <c r="B27" s="11" t="s">
        <v>69</v>
      </c>
      <c r="C27" s="11" t="s">
        <v>70</v>
      </c>
      <c r="D27" s="12">
        <v>0.0</v>
      </c>
      <c r="E27" s="12">
        <v>0.0</v>
      </c>
      <c r="F27" s="12">
        <f t="shared" si="1"/>
        <v>0</v>
      </c>
    </row>
    <row r="28" ht="15.75" customHeight="1">
      <c r="A28" s="5" t="s">
        <v>13</v>
      </c>
      <c r="B28" s="5" t="s">
        <v>69</v>
      </c>
      <c r="C28" s="5" t="s">
        <v>71</v>
      </c>
      <c r="D28" s="6">
        <v>0.0</v>
      </c>
      <c r="E28" s="6">
        <v>0.0</v>
      </c>
      <c r="F28" s="6">
        <f t="shared" si="1"/>
        <v>0</v>
      </c>
    </row>
    <row r="29" ht="15.75" customHeight="1">
      <c r="A29" s="11" t="s">
        <v>13</v>
      </c>
      <c r="B29" s="11" t="s">
        <v>69</v>
      </c>
      <c r="C29" s="11" t="s">
        <v>33</v>
      </c>
      <c r="D29" s="12">
        <v>0.0</v>
      </c>
      <c r="E29" s="12">
        <v>0.0</v>
      </c>
      <c r="F29" s="12">
        <f t="shared" si="1"/>
        <v>0</v>
      </c>
    </row>
    <row r="30" ht="15.75" customHeight="1">
      <c r="A30" s="5" t="s">
        <v>13</v>
      </c>
      <c r="B30" s="5" t="s">
        <v>69</v>
      </c>
      <c r="C30" s="5" t="s">
        <v>74</v>
      </c>
      <c r="D30" s="6">
        <v>0.0</v>
      </c>
      <c r="E30" s="6">
        <v>0.0</v>
      </c>
      <c r="F30" s="6">
        <f t="shared" si="1"/>
        <v>0</v>
      </c>
    </row>
    <row r="31" ht="15.75" customHeight="1">
      <c r="A31" s="11" t="s">
        <v>13</v>
      </c>
      <c r="B31" s="11" t="s">
        <v>69</v>
      </c>
      <c r="C31" s="11" t="s">
        <v>75</v>
      </c>
      <c r="D31" s="12">
        <v>0.0</v>
      </c>
      <c r="E31" s="12">
        <v>0.0</v>
      </c>
      <c r="F31" s="12">
        <f t="shared" si="1"/>
        <v>0</v>
      </c>
    </row>
    <row r="32" ht="15.75" customHeight="1">
      <c r="A32" s="5" t="s">
        <v>13</v>
      </c>
      <c r="B32" s="5" t="s">
        <v>69</v>
      </c>
      <c r="C32" s="5" t="s">
        <v>77</v>
      </c>
      <c r="D32" s="6">
        <v>0.0</v>
      </c>
      <c r="E32" s="6">
        <v>0.0</v>
      </c>
      <c r="F32" s="6">
        <f t="shared" si="1"/>
        <v>0</v>
      </c>
    </row>
    <row r="33" ht="15.75" customHeight="1">
      <c r="A33" s="11" t="s">
        <v>13</v>
      </c>
      <c r="B33" s="11" t="s">
        <v>69</v>
      </c>
      <c r="C33" s="11" t="s">
        <v>78</v>
      </c>
      <c r="D33" s="12">
        <v>0.0</v>
      </c>
      <c r="E33" s="12">
        <v>0.0</v>
      </c>
      <c r="F33" s="12">
        <f t="shared" si="1"/>
        <v>0</v>
      </c>
    </row>
    <row r="34" ht="15.75" customHeight="1">
      <c r="A34" s="5" t="s">
        <v>13</v>
      </c>
      <c r="B34" s="5" t="s">
        <v>69</v>
      </c>
      <c r="C34" s="5" t="s">
        <v>80</v>
      </c>
      <c r="D34" s="6">
        <v>0.0</v>
      </c>
      <c r="E34" s="6">
        <v>0.0</v>
      </c>
      <c r="F34" s="6">
        <f t="shared" si="1"/>
        <v>0</v>
      </c>
    </row>
    <row r="35" ht="15.75" customHeight="1">
      <c r="A35" s="11" t="s">
        <v>13</v>
      </c>
      <c r="B35" s="11" t="s">
        <v>81</v>
      </c>
      <c r="C35" s="11" t="s">
        <v>70</v>
      </c>
      <c r="D35" s="12">
        <v>0.0</v>
      </c>
      <c r="E35" s="12">
        <v>0.0</v>
      </c>
      <c r="F35" s="12">
        <f t="shared" si="1"/>
        <v>0</v>
      </c>
    </row>
    <row r="36" ht="15.75" customHeight="1">
      <c r="A36" s="5" t="s">
        <v>13</v>
      </c>
      <c r="B36" s="5" t="s">
        <v>81</v>
      </c>
      <c r="C36" s="5" t="s">
        <v>71</v>
      </c>
      <c r="D36" s="6">
        <v>0.0</v>
      </c>
      <c r="E36" s="6">
        <v>0.0</v>
      </c>
      <c r="F36" s="6">
        <f t="shared" si="1"/>
        <v>0</v>
      </c>
    </row>
    <row r="37" ht="15.75" customHeight="1">
      <c r="A37" s="11" t="s">
        <v>13</v>
      </c>
      <c r="B37" s="11" t="s">
        <v>81</v>
      </c>
      <c r="C37" s="11" t="s">
        <v>33</v>
      </c>
      <c r="D37" s="12">
        <v>0.0</v>
      </c>
      <c r="E37" s="12">
        <v>0.0</v>
      </c>
      <c r="F37" s="12">
        <f t="shared" si="1"/>
        <v>0</v>
      </c>
    </row>
    <row r="38" ht="15.75" customHeight="1">
      <c r="A38" s="5" t="s">
        <v>13</v>
      </c>
      <c r="B38" s="5" t="s">
        <v>81</v>
      </c>
      <c r="C38" s="5" t="s">
        <v>74</v>
      </c>
      <c r="D38" s="6">
        <v>0.0</v>
      </c>
      <c r="E38" s="6">
        <v>0.0</v>
      </c>
      <c r="F38" s="6">
        <f t="shared" si="1"/>
        <v>0</v>
      </c>
    </row>
    <row r="39" ht="15.75" customHeight="1">
      <c r="A39" s="11" t="s">
        <v>13</v>
      </c>
      <c r="B39" s="11" t="s">
        <v>81</v>
      </c>
      <c r="C39" s="11" t="s">
        <v>75</v>
      </c>
      <c r="D39" s="12">
        <v>0.0</v>
      </c>
      <c r="E39" s="12">
        <v>0.0</v>
      </c>
      <c r="F39" s="12">
        <f t="shared" si="1"/>
        <v>0</v>
      </c>
    </row>
    <row r="40" ht="15.75" customHeight="1">
      <c r="A40" s="5" t="s">
        <v>13</v>
      </c>
      <c r="B40" s="5" t="s">
        <v>81</v>
      </c>
      <c r="C40" s="5" t="s">
        <v>77</v>
      </c>
      <c r="D40" s="6">
        <v>0.0</v>
      </c>
      <c r="E40" s="6">
        <v>0.0</v>
      </c>
      <c r="F40" s="6">
        <f t="shared" si="1"/>
        <v>0</v>
      </c>
    </row>
    <row r="41" ht="15.75" customHeight="1">
      <c r="A41" s="11" t="s">
        <v>13</v>
      </c>
      <c r="B41" s="11" t="s">
        <v>81</v>
      </c>
      <c r="C41" s="11" t="s">
        <v>78</v>
      </c>
      <c r="D41" s="12">
        <v>0.0</v>
      </c>
      <c r="E41" s="12">
        <v>0.0</v>
      </c>
      <c r="F41" s="12">
        <f t="shared" si="1"/>
        <v>0</v>
      </c>
    </row>
    <row r="42" ht="15.75" customHeight="1">
      <c r="A42" s="5" t="s">
        <v>13</v>
      </c>
      <c r="B42" s="5" t="s">
        <v>81</v>
      </c>
      <c r="C42" s="5" t="s">
        <v>80</v>
      </c>
      <c r="D42" s="6">
        <v>0.0</v>
      </c>
      <c r="E42" s="6">
        <v>0.0</v>
      </c>
      <c r="F42" s="6">
        <f t="shared" si="1"/>
        <v>0</v>
      </c>
    </row>
    <row r="43" ht="15.75" customHeight="1">
      <c r="A43" s="11" t="s">
        <v>13</v>
      </c>
      <c r="B43" s="11" t="s">
        <v>87</v>
      </c>
      <c r="C43" s="11" t="s">
        <v>70</v>
      </c>
      <c r="D43" s="12">
        <v>0.0</v>
      </c>
      <c r="E43" s="12">
        <v>0.0</v>
      </c>
      <c r="F43" s="12">
        <f t="shared" si="1"/>
        <v>0</v>
      </c>
    </row>
    <row r="44" ht="15.75" customHeight="1">
      <c r="A44" s="5" t="s">
        <v>13</v>
      </c>
      <c r="B44" s="5" t="s">
        <v>87</v>
      </c>
      <c r="C44" s="5" t="s">
        <v>71</v>
      </c>
      <c r="D44" s="6">
        <v>0.0</v>
      </c>
      <c r="E44" s="6">
        <v>0.0</v>
      </c>
      <c r="F44" s="6">
        <f t="shared" si="1"/>
        <v>0</v>
      </c>
    </row>
    <row r="45" ht="15.75" customHeight="1">
      <c r="A45" s="11" t="s">
        <v>13</v>
      </c>
      <c r="B45" s="11" t="s">
        <v>87</v>
      </c>
      <c r="C45" s="11" t="s">
        <v>33</v>
      </c>
      <c r="D45" s="12">
        <v>0.0</v>
      </c>
      <c r="E45" s="12">
        <v>0.0</v>
      </c>
      <c r="F45" s="12">
        <f t="shared" si="1"/>
        <v>0</v>
      </c>
    </row>
    <row r="46" ht="15.75" customHeight="1">
      <c r="A46" s="5" t="s">
        <v>13</v>
      </c>
      <c r="B46" s="5" t="s">
        <v>87</v>
      </c>
      <c r="C46" s="5" t="s">
        <v>74</v>
      </c>
      <c r="D46" s="6">
        <v>0.0</v>
      </c>
      <c r="E46" s="6">
        <v>0.0</v>
      </c>
      <c r="F46" s="6">
        <f t="shared" si="1"/>
        <v>0</v>
      </c>
    </row>
    <row r="47" ht="15.75" customHeight="1">
      <c r="A47" s="11" t="s">
        <v>13</v>
      </c>
      <c r="B47" s="11" t="s">
        <v>87</v>
      </c>
      <c r="C47" s="11" t="s">
        <v>75</v>
      </c>
      <c r="D47" s="12">
        <v>0.0</v>
      </c>
      <c r="E47" s="12">
        <v>0.0</v>
      </c>
      <c r="F47" s="12">
        <f t="shared" si="1"/>
        <v>0</v>
      </c>
    </row>
    <row r="48" ht="15.75" customHeight="1">
      <c r="A48" s="5" t="s">
        <v>13</v>
      </c>
      <c r="B48" s="5" t="s">
        <v>87</v>
      </c>
      <c r="C48" s="5" t="s">
        <v>77</v>
      </c>
      <c r="D48" s="6">
        <v>0.0</v>
      </c>
      <c r="E48" s="6">
        <v>0.0</v>
      </c>
      <c r="F48" s="6">
        <f t="shared" si="1"/>
        <v>0</v>
      </c>
    </row>
    <row r="49" ht="15.75" customHeight="1">
      <c r="A49" s="11" t="s">
        <v>13</v>
      </c>
      <c r="B49" s="11" t="s">
        <v>87</v>
      </c>
      <c r="C49" s="11" t="s">
        <v>78</v>
      </c>
      <c r="D49" s="12">
        <v>0.0</v>
      </c>
      <c r="E49" s="12">
        <v>0.0</v>
      </c>
      <c r="F49" s="12">
        <f t="shared" si="1"/>
        <v>0</v>
      </c>
    </row>
    <row r="50" ht="15.75" customHeight="1">
      <c r="A50" s="5" t="s">
        <v>13</v>
      </c>
      <c r="B50" s="5" t="s">
        <v>87</v>
      </c>
      <c r="C50" s="5" t="s">
        <v>80</v>
      </c>
      <c r="D50" s="6">
        <v>0.0</v>
      </c>
      <c r="E50" s="6">
        <v>0.0</v>
      </c>
      <c r="F50" s="6">
        <f t="shared" si="1"/>
        <v>0</v>
      </c>
    </row>
    <row r="51" ht="15.75" customHeight="1">
      <c r="A51" s="11" t="s">
        <v>13</v>
      </c>
      <c r="B51" s="11" t="s">
        <v>90</v>
      </c>
      <c r="C51" s="11" t="s">
        <v>70</v>
      </c>
      <c r="D51" s="12">
        <v>0.0</v>
      </c>
      <c r="E51" s="12">
        <v>0.0</v>
      </c>
      <c r="F51" s="12">
        <f t="shared" si="1"/>
        <v>0</v>
      </c>
    </row>
    <row r="52" ht="15.75" customHeight="1">
      <c r="A52" s="5" t="s">
        <v>13</v>
      </c>
      <c r="B52" s="5" t="s">
        <v>90</v>
      </c>
      <c r="C52" s="5" t="s">
        <v>71</v>
      </c>
      <c r="D52" s="6">
        <v>0.0</v>
      </c>
      <c r="E52" s="6">
        <v>0.0</v>
      </c>
      <c r="F52" s="6">
        <f t="shared" si="1"/>
        <v>0</v>
      </c>
    </row>
    <row r="53" ht="15.75" customHeight="1">
      <c r="A53" s="11" t="s">
        <v>13</v>
      </c>
      <c r="B53" s="11" t="s">
        <v>90</v>
      </c>
      <c r="C53" s="11" t="s">
        <v>33</v>
      </c>
      <c r="D53" s="12">
        <v>0.0</v>
      </c>
      <c r="E53" s="12">
        <v>0.0</v>
      </c>
      <c r="F53" s="12">
        <f t="shared" si="1"/>
        <v>0</v>
      </c>
    </row>
    <row r="54" ht="15.75" customHeight="1">
      <c r="A54" s="5" t="s">
        <v>13</v>
      </c>
      <c r="B54" s="5" t="s">
        <v>90</v>
      </c>
      <c r="C54" s="5" t="s">
        <v>74</v>
      </c>
      <c r="D54" s="6">
        <v>0.0</v>
      </c>
      <c r="E54" s="6">
        <v>0.0</v>
      </c>
      <c r="F54" s="6">
        <f t="shared" si="1"/>
        <v>0</v>
      </c>
    </row>
    <row r="55" ht="15.75" customHeight="1">
      <c r="A55" s="11" t="s">
        <v>13</v>
      </c>
      <c r="B55" s="11" t="s">
        <v>90</v>
      </c>
      <c r="C55" s="11" t="s">
        <v>75</v>
      </c>
      <c r="D55" s="12">
        <v>0.0</v>
      </c>
      <c r="E55" s="12">
        <v>0.0</v>
      </c>
      <c r="F55" s="12">
        <f t="shared" si="1"/>
        <v>0</v>
      </c>
    </row>
    <row r="56" ht="15.75" customHeight="1">
      <c r="A56" s="5" t="s">
        <v>13</v>
      </c>
      <c r="B56" s="5" t="s">
        <v>90</v>
      </c>
      <c r="C56" s="5" t="s">
        <v>77</v>
      </c>
      <c r="D56" s="6">
        <v>0.0</v>
      </c>
      <c r="E56" s="6">
        <v>0.0</v>
      </c>
      <c r="F56" s="6">
        <f t="shared" si="1"/>
        <v>0</v>
      </c>
    </row>
    <row r="57" ht="15.75" customHeight="1">
      <c r="A57" s="11" t="s">
        <v>13</v>
      </c>
      <c r="B57" s="11" t="s">
        <v>90</v>
      </c>
      <c r="C57" s="11" t="s">
        <v>78</v>
      </c>
      <c r="D57" s="12">
        <v>0.0</v>
      </c>
      <c r="E57" s="12">
        <v>0.0</v>
      </c>
      <c r="F57" s="12">
        <f t="shared" si="1"/>
        <v>0</v>
      </c>
    </row>
    <row r="58" ht="15.75" customHeight="1">
      <c r="A58" s="5" t="s">
        <v>13</v>
      </c>
      <c r="B58" s="5" t="s">
        <v>90</v>
      </c>
      <c r="C58" s="5" t="s">
        <v>80</v>
      </c>
      <c r="D58" s="6">
        <v>0.0</v>
      </c>
      <c r="E58" s="6">
        <v>0.0</v>
      </c>
      <c r="F58" s="6">
        <f t="shared" si="1"/>
        <v>0</v>
      </c>
    </row>
    <row r="59" ht="15.75" customHeight="1">
      <c r="A59" s="11" t="s">
        <v>13</v>
      </c>
      <c r="B59" s="11" t="s">
        <v>91</v>
      </c>
      <c r="C59" s="11" t="s">
        <v>70</v>
      </c>
      <c r="D59" s="12">
        <v>0.0</v>
      </c>
      <c r="E59" s="12">
        <v>0.0</v>
      </c>
      <c r="F59" s="12">
        <f t="shared" si="1"/>
        <v>0</v>
      </c>
    </row>
    <row r="60" ht="15.75" customHeight="1">
      <c r="A60" s="5" t="s">
        <v>13</v>
      </c>
      <c r="B60" s="5" t="s">
        <v>91</v>
      </c>
      <c r="C60" s="5" t="s">
        <v>71</v>
      </c>
      <c r="D60" s="6">
        <v>0.0</v>
      </c>
      <c r="E60" s="6">
        <v>0.0</v>
      </c>
      <c r="F60" s="6">
        <f t="shared" si="1"/>
        <v>0</v>
      </c>
    </row>
    <row r="61" ht="15.75" customHeight="1">
      <c r="A61" s="11" t="s">
        <v>13</v>
      </c>
      <c r="B61" s="11" t="s">
        <v>91</v>
      </c>
      <c r="C61" s="11" t="s">
        <v>33</v>
      </c>
      <c r="D61" s="12">
        <v>0.0</v>
      </c>
      <c r="E61" s="12">
        <v>0.0</v>
      </c>
      <c r="F61" s="12">
        <f t="shared" si="1"/>
        <v>0</v>
      </c>
    </row>
    <row r="62" ht="15.75" customHeight="1">
      <c r="A62" s="5" t="s">
        <v>13</v>
      </c>
      <c r="B62" s="5" t="s">
        <v>91</v>
      </c>
      <c r="C62" s="5" t="s">
        <v>74</v>
      </c>
      <c r="D62" s="6">
        <v>0.0</v>
      </c>
      <c r="E62" s="6">
        <v>0.0</v>
      </c>
      <c r="F62" s="6">
        <f t="shared" si="1"/>
        <v>0</v>
      </c>
    </row>
    <row r="63" ht="15.75" customHeight="1">
      <c r="A63" s="11" t="s">
        <v>13</v>
      </c>
      <c r="B63" s="11" t="s">
        <v>91</v>
      </c>
      <c r="C63" s="11" t="s">
        <v>75</v>
      </c>
      <c r="D63" s="12">
        <v>0.0</v>
      </c>
      <c r="E63" s="12">
        <v>0.0</v>
      </c>
      <c r="F63" s="12">
        <f t="shared" si="1"/>
        <v>0</v>
      </c>
    </row>
    <row r="64" ht="15.75" customHeight="1">
      <c r="A64" s="5" t="s">
        <v>13</v>
      </c>
      <c r="B64" s="5" t="s">
        <v>91</v>
      </c>
      <c r="C64" s="5" t="s">
        <v>77</v>
      </c>
      <c r="D64" s="6">
        <v>0.0</v>
      </c>
      <c r="E64" s="6">
        <v>0.0</v>
      </c>
      <c r="F64" s="6">
        <f t="shared" si="1"/>
        <v>0</v>
      </c>
    </row>
    <row r="65" ht="15.75" customHeight="1">
      <c r="A65" s="11" t="s">
        <v>13</v>
      </c>
      <c r="B65" s="11" t="s">
        <v>91</v>
      </c>
      <c r="C65" s="11" t="s">
        <v>78</v>
      </c>
      <c r="D65" s="12">
        <v>0.0</v>
      </c>
      <c r="E65" s="12">
        <v>0.0</v>
      </c>
      <c r="F65" s="12">
        <f t="shared" si="1"/>
        <v>0</v>
      </c>
    </row>
    <row r="66" ht="15.75" customHeight="1">
      <c r="A66" s="5" t="s">
        <v>13</v>
      </c>
      <c r="B66" s="5" t="s">
        <v>91</v>
      </c>
      <c r="C66" s="5" t="s">
        <v>80</v>
      </c>
      <c r="D66" s="6">
        <v>0.0</v>
      </c>
      <c r="E66" s="6">
        <v>0.0</v>
      </c>
      <c r="F66" s="6">
        <f t="shared" si="1"/>
        <v>0</v>
      </c>
    </row>
    <row r="67" ht="15.75" customHeight="1">
      <c r="A67" s="11" t="s">
        <v>13</v>
      </c>
      <c r="B67" s="11" t="s">
        <v>97</v>
      </c>
      <c r="C67" s="11" t="s">
        <v>70</v>
      </c>
      <c r="D67" s="12">
        <v>0.0</v>
      </c>
      <c r="E67" s="12">
        <v>0.0</v>
      </c>
      <c r="F67" s="12">
        <f t="shared" si="1"/>
        <v>0</v>
      </c>
    </row>
    <row r="68" ht="15.75" customHeight="1">
      <c r="A68" s="5" t="s">
        <v>13</v>
      </c>
      <c r="B68" s="5" t="s">
        <v>97</v>
      </c>
      <c r="C68" s="5" t="s">
        <v>71</v>
      </c>
      <c r="D68" s="6">
        <v>0.0</v>
      </c>
      <c r="E68" s="6">
        <v>0.0</v>
      </c>
      <c r="F68" s="6">
        <f t="shared" si="1"/>
        <v>0</v>
      </c>
    </row>
    <row r="69" ht="15.75" customHeight="1">
      <c r="A69" s="11" t="s">
        <v>13</v>
      </c>
      <c r="B69" s="11" t="s">
        <v>97</v>
      </c>
      <c r="C69" s="11" t="s">
        <v>33</v>
      </c>
      <c r="D69" s="12">
        <v>0.0</v>
      </c>
      <c r="E69" s="12">
        <v>0.0</v>
      </c>
      <c r="F69" s="12">
        <f t="shared" si="1"/>
        <v>0</v>
      </c>
    </row>
    <row r="70" ht="15.75" customHeight="1">
      <c r="A70" s="5" t="s">
        <v>13</v>
      </c>
      <c r="B70" s="5" t="s">
        <v>97</v>
      </c>
      <c r="C70" s="5" t="s">
        <v>74</v>
      </c>
      <c r="D70" s="6">
        <v>0.0</v>
      </c>
      <c r="E70" s="6">
        <v>0.0</v>
      </c>
      <c r="F70" s="6">
        <f t="shared" si="1"/>
        <v>0</v>
      </c>
    </row>
    <row r="71" ht="15.75" customHeight="1">
      <c r="A71" s="11" t="s">
        <v>13</v>
      </c>
      <c r="B71" s="11" t="s">
        <v>97</v>
      </c>
      <c r="C71" s="11" t="s">
        <v>75</v>
      </c>
      <c r="D71" s="12">
        <v>0.0</v>
      </c>
      <c r="E71" s="12">
        <v>0.0</v>
      </c>
      <c r="F71" s="12">
        <f t="shared" si="1"/>
        <v>0</v>
      </c>
    </row>
    <row r="72" ht="15.75" customHeight="1">
      <c r="A72" s="5" t="s">
        <v>13</v>
      </c>
      <c r="B72" s="5" t="s">
        <v>97</v>
      </c>
      <c r="C72" s="5" t="s">
        <v>77</v>
      </c>
      <c r="D72" s="6">
        <v>0.0</v>
      </c>
      <c r="E72" s="6">
        <v>0.0</v>
      </c>
      <c r="F72" s="6">
        <f t="shared" si="1"/>
        <v>0</v>
      </c>
    </row>
    <row r="73" ht="15.75" customHeight="1">
      <c r="A73" s="11" t="s">
        <v>13</v>
      </c>
      <c r="B73" s="11" t="s">
        <v>97</v>
      </c>
      <c r="C73" s="11" t="s">
        <v>78</v>
      </c>
      <c r="D73" s="12">
        <v>0.0</v>
      </c>
      <c r="E73" s="12">
        <v>0.0</v>
      </c>
      <c r="F73" s="12">
        <f t="shared" si="1"/>
        <v>0</v>
      </c>
    </row>
    <row r="74" ht="15.75" customHeight="1">
      <c r="A74" s="5" t="s">
        <v>13</v>
      </c>
      <c r="B74" s="5" t="s">
        <v>97</v>
      </c>
      <c r="C74" s="5" t="s">
        <v>80</v>
      </c>
      <c r="D74" s="6">
        <v>0.0</v>
      </c>
      <c r="E74" s="6">
        <v>0.0</v>
      </c>
      <c r="F74" s="6">
        <f t="shared" si="1"/>
        <v>0</v>
      </c>
    </row>
    <row r="75" ht="15.75" customHeight="1">
      <c r="A75" s="11" t="s">
        <v>13</v>
      </c>
      <c r="B75" s="11" t="s">
        <v>106</v>
      </c>
      <c r="C75" s="11" t="s">
        <v>70</v>
      </c>
      <c r="D75" s="12">
        <v>0.0</v>
      </c>
      <c r="E75" s="12">
        <v>0.0</v>
      </c>
      <c r="F75" s="12">
        <f t="shared" si="1"/>
        <v>0</v>
      </c>
    </row>
    <row r="76" ht="15.75" customHeight="1">
      <c r="A76" s="5" t="s">
        <v>13</v>
      </c>
      <c r="B76" s="5" t="s">
        <v>106</v>
      </c>
      <c r="C76" s="5" t="s">
        <v>71</v>
      </c>
      <c r="D76" s="6">
        <v>0.0</v>
      </c>
      <c r="E76" s="6">
        <v>0.0</v>
      </c>
      <c r="F76" s="6">
        <f t="shared" si="1"/>
        <v>0</v>
      </c>
    </row>
    <row r="77" ht="15.75" customHeight="1">
      <c r="A77" s="11" t="s">
        <v>13</v>
      </c>
      <c r="B77" s="11" t="s">
        <v>106</v>
      </c>
      <c r="C77" s="11" t="s">
        <v>33</v>
      </c>
      <c r="D77" s="12">
        <v>0.0</v>
      </c>
      <c r="E77" s="12">
        <v>0.0</v>
      </c>
      <c r="F77" s="12">
        <f t="shared" si="1"/>
        <v>0</v>
      </c>
    </row>
    <row r="78" ht="15.75" customHeight="1">
      <c r="A78" s="5" t="s">
        <v>13</v>
      </c>
      <c r="B78" s="5" t="s">
        <v>106</v>
      </c>
      <c r="C78" s="5" t="s">
        <v>74</v>
      </c>
      <c r="D78" s="6">
        <v>0.0</v>
      </c>
      <c r="E78" s="6">
        <v>0.0</v>
      </c>
      <c r="F78" s="6">
        <f t="shared" si="1"/>
        <v>0</v>
      </c>
    </row>
    <row r="79" ht="15.75" customHeight="1">
      <c r="A79" s="11" t="s">
        <v>13</v>
      </c>
      <c r="B79" s="11" t="s">
        <v>106</v>
      </c>
      <c r="C79" s="11" t="s">
        <v>75</v>
      </c>
      <c r="D79" s="12">
        <v>0.0</v>
      </c>
      <c r="E79" s="12">
        <v>0.0</v>
      </c>
      <c r="F79" s="12">
        <f t="shared" si="1"/>
        <v>0</v>
      </c>
    </row>
    <row r="80" ht="15.75" customHeight="1">
      <c r="A80" s="5" t="s">
        <v>13</v>
      </c>
      <c r="B80" s="5" t="s">
        <v>106</v>
      </c>
      <c r="C80" s="5" t="s">
        <v>77</v>
      </c>
      <c r="D80" s="6">
        <v>0.0</v>
      </c>
      <c r="E80" s="6">
        <v>0.0</v>
      </c>
      <c r="F80" s="6">
        <f t="shared" si="1"/>
        <v>0</v>
      </c>
    </row>
    <row r="81" ht="15.75" customHeight="1">
      <c r="A81" s="11" t="s">
        <v>13</v>
      </c>
      <c r="B81" s="11" t="s">
        <v>106</v>
      </c>
      <c r="C81" s="11" t="s">
        <v>78</v>
      </c>
      <c r="D81" s="12">
        <v>0.0</v>
      </c>
      <c r="E81" s="12">
        <v>0.0</v>
      </c>
      <c r="F81" s="12">
        <f t="shared" si="1"/>
        <v>0</v>
      </c>
    </row>
    <row r="82" ht="15.75" customHeight="1">
      <c r="A82" s="5" t="s">
        <v>13</v>
      </c>
      <c r="B82" s="5" t="s">
        <v>106</v>
      </c>
      <c r="C82" s="5" t="s">
        <v>80</v>
      </c>
      <c r="D82" s="6">
        <v>0.0</v>
      </c>
      <c r="E82" s="6">
        <v>0.0</v>
      </c>
      <c r="F82" s="6">
        <f t="shared" si="1"/>
        <v>0</v>
      </c>
    </row>
    <row r="83" ht="15.75" customHeight="1">
      <c r="A83" s="11" t="s">
        <v>13</v>
      </c>
      <c r="B83" s="11" t="s">
        <v>34</v>
      </c>
      <c r="C83" s="11" t="s">
        <v>70</v>
      </c>
      <c r="D83" s="12">
        <v>0.0</v>
      </c>
      <c r="E83" s="12">
        <v>0.0</v>
      </c>
      <c r="F83" s="12">
        <f t="shared" si="1"/>
        <v>0</v>
      </c>
    </row>
    <row r="84" ht="15.75" customHeight="1">
      <c r="A84" s="5" t="s">
        <v>13</v>
      </c>
      <c r="B84" s="5" t="s">
        <v>34</v>
      </c>
      <c r="C84" s="5" t="s">
        <v>71</v>
      </c>
      <c r="D84" s="6">
        <v>0.0</v>
      </c>
      <c r="E84" s="6">
        <v>0.0</v>
      </c>
      <c r="F84" s="6">
        <f t="shared" si="1"/>
        <v>0</v>
      </c>
    </row>
    <row r="85" ht="15.75" customHeight="1">
      <c r="A85" s="11" t="s">
        <v>13</v>
      </c>
      <c r="B85" s="11" t="s">
        <v>34</v>
      </c>
      <c r="C85" s="11" t="s">
        <v>74</v>
      </c>
      <c r="D85" s="12">
        <v>0.0</v>
      </c>
      <c r="E85" s="12">
        <v>0.0</v>
      </c>
      <c r="F85" s="12">
        <f t="shared" si="1"/>
        <v>0</v>
      </c>
    </row>
    <row r="86" ht="15.75" customHeight="1">
      <c r="A86" s="5" t="s">
        <v>13</v>
      </c>
      <c r="B86" s="5" t="s">
        <v>34</v>
      </c>
      <c r="C86" s="5" t="s">
        <v>75</v>
      </c>
      <c r="D86" s="6">
        <v>0.0</v>
      </c>
      <c r="E86" s="6">
        <v>0.0</v>
      </c>
      <c r="F86" s="6">
        <f t="shared" si="1"/>
        <v>0</v>
      </c>
    </row>
    <row r="87" ht="15.75" customHeight="1">
      <c r="A87" s="11" t="s">
        <v>13</v>
      </c>
      <c r="B87" s="11" t="s">
        <v>34</v>
      </c>
      <c r="C87" s="11" t="s">
        <v>77</v>
      </c>
      <c r="D87" s="12">
        <v>0.0</v>
      </c>
      <c r="E87" s="12">
        <v>0.0</v>
      </c>
      <c r="F87" s="12">
        <f t="shared" si="1"/>
        <v>0</v>
      </c>
    </row>
    <row r="88" ht="15.75" customHeight="1">
      <c r="A88" s="5" t="s">
        <v>13</v>
      </c>
      <c r="B88" s="5" t="s">
        <v>34</v>
      </c>
      <c r="C88" s="5" t="s">
        <v>78</v>
      </c>
      <c r="D88" s="6">
        <v>0.0</v>
      </c>
      <c r="E88" s="6">
        <v>0.0</v>
      </c>
      <c r="F88" s="6">
        <f t="shared" si="1"/>
        <v>0</v>
      </c>
    </row>
    <row r="89" ht="15.75" customHeight="1">
      <c r="A89" s="11" t="s">
        <v>13</v>
      </c>
      <c r="B89" s="11" t="s">
        <v>34</v>
      </c>
      <c r="C89" s="11" t="s">
        <v>80</v>
      </c>
      <c r="D89" s="12">
        <v>0.0</v>
      </c>
      <c r="E89" s="12">
        <v>0.0</v>
      </c>
      <c r="F89" s="12">
        <f t="shared" si="1"/>
        <v>0</v>
      </c>
    </row>
    <row r="90" ht="15.75" customHeight="1">
      <c r="A90" s="5" t="s">
        <v>13</v>
      </c>
      <c r="B90" s="5" t="s">
        <v>43</v>
      </c>
      <c r="C90" s="5" t="s">
        <v>70</v>
      </c>
      <c r="D90" s="6">
        <v>0.0</v>
      </c>
      <c r="E90" s="6">
        <v>0.0</v>
      </c>
      <c r="F90" s="6">
        <f t="shared" si="1"/>
        <v>0</v>
      </c>
    </row>
    <row r="91" ht="15.75" customHeight="1">
      <c r="A91" s="11" t="s">
        <v>13</v>
      </c>
      <c r="B91" s="11" t="s">
        <v>43</v>
      </c>
      <c r="C91" s="11" t="s">
        <v>71</v>
      </c>
      <c r="D91" s="12">
        <v>0.0</v>
      </c>
      <c r="E91" s="12">
        <v>0.0</v>
      </c>
      <c r="F91" s="12">
        <f t="shared" si="1"/>
        <v>0</v>
      </c>
    </row>
    <row r="92" ht="15.75" customHeight="1">
      <c r="A92" s="5" t="s">
        <v>13</v>
      </c>
      <c r="B92" s="5" t="s">
        <v>43</v>
      </c>
      <c r="C92" s="5" t="s">
        <v>74</v>
      </c>
      <c r="D92" s="6">
        <v>0.0</v>
      </c>
      <c r="E92" s="6">
        <v>0.0</v>
      </c>
      <c r="F92" s="6">
        <f t="shared" si="1"/>
        <v>0</v>
      </c>
    </row>
    <row r="93" ht="15.75" customHeight="1">
      <c r="A93" s="11" t="s">
        <v>13</v>
      </c>
      <c r="B93" s="11" t="s">
        <v>43</v>
      </c>
      <c r="C93" s="11" t="s">
        <v>75</v>
      </c>
      <c r="D93" s="12">
        <v>0.0</v>
      </c>
      <c r="E93" s="12">
        <v>0.0</v>
      </c>
      <c r="F93" s="12">
        <f t="shared" si="1"/>
        <v>0</v>
      </c>
    </row>
    <row r="94" ht="15.75" customHeight="1">
      <c r="A94" s="5" t="s">
        <v>13</v>
      </c>
      <c r="B94" s="5" t="s">
        <v>43</v>
      </c>
      <c r="C94" s="5" t="s">
        <v>77</v>
      </c>
      <c r="D94" s="6">
        <v>0.0</v>
      </c>
      <c r="E94" s="6">
        <v>0.0</v>
      </c>
      <c r="F94" s="6">
        <f t="shared" si="1"/>
        <v>0</v>
      </c>
    </row>
    <row r="95" ht="15.75" customHeight="1">
      <c r="A95" s="11" t="s">
        <v>13</v>
      </c>
      <c r="B95" s="11" t="s">
        <v>43</v>
      </c>
      <c r="C95" s="11" t="s">
        <v>78</v>
      </c>
      <c r="D95" s="12">
        <v>0.0</v>
      </c>
      <c r="E95" s="12">
        <v>0.0</v>
      </c>
      <c r="F95" s="12">
        <f t="shared" si="1"/>
        <v>0</v>
      </c>
    </row>
    <row r="96" ht="15.75" customHeight="1">
      <c r="A96" s="5" t="s">
        <v>13</v>
      </c>
      <c r="B96" s="5" t="s">
        <v>43</v>
      </c>
      <c r="C96" s="5" t="s">
        <v>80</v>
      </c>
      <c r="D96" s="6">
        <v>0.0</v>
      </c>
      <c r="E96" s="6">
        <v>0.0</v>
      </c>
      <c r="F96" s="6">
        <f t="shared" si="1"/>
        <v>0</v>
      </c>
    </row>
    <row r="97" ht="15.75" customHeight="1">
      <c r="A97" s="11" t="s">
        <v>13</v>
      </c>
      <c r="B97" s="11" t="s">
        <v>120</v>
      </c>
      <c r="C97" s="11" t="s">
        <v>70</v>
      </c>
      <c r="D97" s="12">
        <v>0.0</v>
      </c>
      <c r="E97" s="12">
        <v>0.0</v>
      </c>
      <c r="F97" s="12">
        <f t="shared" si="1"/>
        <v>0</v>
      </c>
    </row>
    <row r="98" ht="15.75" customHeight="1">
      <c r="A98" s="5" t="s">
        <v>13</v>
      </c>
      <c r="B98" s="5" t="s">
        <v>120</v>
      </c>
      <c r="C98" s="5" t="s">
        <v>71</v>
      </c>
      <c r="D98" s="6">
        <v>0.0</v>
      </c>
      <c r="E98" s="6">
        <v>0.0</v>
      </c>
      <c r="F98" s="6">
        <f t="shared" si="1"/>
        <v>0</v>
      </c>
    </row>
    <row r="99" ht="15.75" customHeight="1">
      <c r="A99" s="11" t="s">
        <v>13</v>
      </c>
      <c r="B99" s="11" t="s">
        <v>120</v>
      </c>
      <c r="C99" s="11" t="s">
        <v>33</v>
      </c>
      <c r="D99" s="12">
        <v>0.0</v>
      </c>
      <c r="E99" s="12">
        <v>0.0</v>
      </c>
      <c r="F99" s="12">
        <f t="shared" si="1"/>
        <v>0</v>
      </c>
    </row>
    <row r="100" ht="15.75" customHeight="1">
      <c r="A100" s="5" t="s">
        <v>13</v>
      </c>
      <c r="B100" s="5" t="s">
        <v>120</v>
      </c>
      <c r="C100" s="5" t="s">
        <v>74</v>
      </c>
      <c r="D100" s="6">
        <v>0.0</v>
      </c>
      <c r="E100" s="6">
        <v>0.0</v>
      </c>
      <c r="F100" s="6">
        <f t="shared" si="1"/>
        <v>0</v>
      </c>
    </row>
    <row r="101" ht="15.75" customHeight="1">
      <c r="A101" s="11" t="s">
        <v>13</v>
      </c>
      <c r="B101" s="11" t="s">
        <v>120</v>
      </c>
      <c r="C101" s="11" t="s">
        <v>75</v>
      </c>
      <c r="D101" s="12">
        <v>0.0</v>
      </c>
      <c r="E101" s="12">
        <v>0.0</v>
      </c>
      <c r="F101" s="12">
        <f t="shared" si="1"/>
        <v>0</v>
      </c>
    </row>
    <row r="102" ht="15.75" customHeight="1">
      <c r="A102" s="5" t="s">
        <v>13</v>
      </c>
      <c r="B102" s="5" t="s">
        <v>120</v>
      </c>
      <c r="C102" s="5" t="s">
        <v>77</v>
      </c>
      <c r="D102" s="6">
        <v>0.0</v>
      </c>
      <c r="E102" s="6">
        <v>0.0</v>
      </c>
      <c r="F102" s="6">
        <f t="shared" si="1"/>
        <v>0</v>
      </c>
    </row>
    <row r="103" ht="15.75" customHeight="1">
      <c r="A103" s="11" t="s">
        <v>13</v>
      </c>
      <c r="B103" s="11" t="s">
        <v>120</v>
      </c>
      <c r="C103" s="11" t="s">
        <v>78</v>
      </c>
      <c r="D103" s="12">
        <v>0.0</v>
      </c>
      <c r="E103" s="12">
        <v>0.0</v>
      </c>
      <c r="F103" s="12">
        <f t="shared" si="1"/>
        <v>0</v>
      </c>
    </row>
    <row r="104" ht="15.75" customHeight="1">
      <c r="A104" s="5" t="s">
        <v>13</v>
      </c>
      <c r="B104" s="5" t="s">
        <v>120</v>
      </c>
      <c r="C104" s="5" t="s">
        <v>80</v>
      </c>
      <c r="D104" s="6">
        <v>0.0</v>
      </c>
      <c r="E104" s="6">
        <v>0.0</v>
      </c>
      <c r="F104" s="6">
        <f t="shared" si="1"/>
        <v>0</v>
      </c>
    </row>
    <row r="105" ht="15.75" customHeight="1">
      <c r="A105" s="11" t="s">
        <v>13</v>
      </c>
      <c r="B105" s="11" t="s">
        <v>35</v>
      </c>
      <c r="C105" s="11" t="s">
        <v>70</v>
      </c>
      <c r="D105" s="12">
        <v>0.0</v>
      </c>
      <c r="E105" s="12">
        <v>0.0</v>
      </c>
      <c r="F105" s="12">
        <f t="shared" si="1"/>
        <v>0</v>
      </c>
    </row>
    <row r="106" ht="15.75" customHeight="1">
      <c r="A106" s="5" t="s">
        <v>13</v>
      </c>
      <c r="B106" s="5" t="s">
        <v>35</v>
      </c>
      <c r="C106" s="5" t="s">
        <v>71</v>
      </c>
      <c r="D106" s="6">
        <v>0.0</v>
      </c>
      <c r="E106" s="6">
        <v>0.0</v>
      </c>
      <c r="F106" s="6">
        <f t="shared" si="1"/>
        <v>0</v>
      </c>
    </row>
    <row r="107" ht="15.75" customHeight="1">
      <c r="A107" s="11" t="s">
        <v>13</v>
      </c>
      <c r="B107" s="11" t="s">
        <v>35</v>
      </c>
      <c r="C107" s="11" t="s">
        <v>74</v>
      </c>
      <c r="D107" s="12">
        <v>0.0</v>
      </c>
      <c r="E107" s="12">
        <v>0.0</v>
      </c>
      <c r="F107" s="12">
        <f t="shared" si="1"/>
        <v>0</v>
      </c>
    </row>
    <row r="108" ht="15.75" customHeight="1">
      <c r="A108" s="5" t="s">
        <v>13</v>
      </c>
      <c r="B108" s="5" t="s">
        <v>35</v>
      </c>
      <c r="C108" s="5" t="s">
        <v>75</v>
      </c>
      <c r="D108" s="6">
        <v>0.0</v>
      </c>
      <c r="E108" s="6">
        <v>0.0</v>
      </c>
      <c r="F108" s="6">
        <f t="shared" si="1"/>
        <v>0</v>
      </c>
    </row>
    <row r="109" ht="15.75" customHeight="1">
      <c r="A109" s="11" t="s">
        <v>13</v>
      </c>
      <c r="B109" s="11" t="s">
        <v>35</v>
      </c>
      <c r="C109" s="11" t="s">
        <v>77</v>
      </c>
      <c r="D109" s="12">
        <v>0.0</v>
      </c>
      <c r="E109" s="12">
        <v>0.0</v>
      </c>
      <c r="F109" s="12">
        <f t="shared" si="1"/>
        <v>0</v>
      </c>
    </row>
    <row r="110" ht="15.75" customHeight="1">
      <c r="A110" s="5" t="s">
        <v>13</v>
      </c>
      <c r="B110" s="5" t="s">
        <v>35</v>
      </c>
      <c r="C110" s="5" t="s">
        <v>78</v>
      </c>
      <c r="D110" s="6">
        <v>0.0</v>
      </c>
      <c r="E110" s="6">
        <v>0.0</v>
      </c>
      <c r="F110" s="6">
        <f t="shared" si="1"/>
        <v>0</v>
      </c>
    </row>
    <row r="111" ht="15.75" customHeight="1">
      <c r="A111" s="11" t="s">
        <v>13</v>
      </c>
      <c r="B111" s="11" t="s">
        <v>35</v>
      </c>
      <c r="C111" s="11" t="s">
        <v>80</v>
      </c>
      <c r="D111" s="12">
        <v>0.0</v>
      </c>
      <c r="E111" s="12">
        <v>0.0</v>
      </c>
      <c r="F111" s="12">
        <f t="shared" si="1"/>
        <v>0</v>
      </c>
    </row>
    <row r="112" ht="15.75" customHeight="1">
      <c r="A112" s="5" t="s">
        <v>13</v>
      </c>
      <c r="B112" s="5" t="s">
        <v>40</v>
      </c>
      <c r="C112" s="5" t="s">
        <v>70</v>
      </c>
      <c r="D112" s="6">
        <v>0.0</v>
      </c>
      <c r="E112" s="6">
        <v>0.0</v>
      </c>
      <c r="F112" s="6">
        <f t="shared" si="1"/>
        <v>0</v>
      </c>
    </row>
    <row r="113" ht="15.75" customHeight="1">
      <c r="A113" s="11" t="s">
        <v>13</v>
      </c>
      <c r="B113" s="11" t="s">
        <v>40</v>
      </c>
      <c r="C113" s="11" t="s">
        <v>71</v>
      </c>
      <c r="D113" s="12">
        <v>0.0</v>
      </c>
      <c r="E113" s="12">
        <v>0.0</v>
      </c>
      <c r="F113" s="12">
        <f t="shared" si="1"/>
        <v>0</v>
      </c>
    </row>
    <row r="114" ht="15.75" customHeight="1">
      <c r="A114" s="5" t="s">
        <v>13</v>
      </c>
      <c r="B114" s="5" t="s">
        <v>40</v>
      </c>
      <c r="C114" s="5" t="s">
        <v>74</v>
      </c>
      <c r="D114" s="6">
        <v>0.0</v>
      </c>
      <c r="E114" s="6">
        <v>0.0</v>
      </c>
      <c r="F114" s="6">
        <f t="shared" si="1"/>
        <v>0</v>
      </c>
    </row>
    <row r="115" ht="15.75" customHeight="1">
      <c r="A115" s="11" t="s">
        <v>13</v>
      </c>
      <c r="B115" s="11" t="s">
        <v>40</v>
      </c>
      <c r="C115" s="11" t="s">
        <v>75</v>
      </c>
      <c r="D115" s="12">
        <v>0.0</v>
      </c>
      <c r="E115" s="12">
        <v>0.0</v>
      </c>
      <c r="F115" s="12">
        <f t="shared" si="1"/>
        <v>0</v>
      </c>
    </row>
    <row r="116" ht="15.75" customHeight="1">
      <c r="A116" s="5" t="s">
        <v>13</v>
      </c>
      <c r="B116" s="5" t="s">
        <v>40</v>
      </c>
      <c r="C116" s="5" t="s">
        <v>77</v>
      </c>
      <c r="D116" s="6">
        <v>0.0</v>
      </c>
      <c r="E116" s="6">
        <v>0.0</v>
      </c>
      <c r="F116" s="6">
        <f t="shared" si="1"/>
        <v>0</v>
      </c>
    </row>
    <row r="117" ht="15.75" customHeight="1">
      <c r="A117" s="11" t="s">
        <v>13</v>
      </c>
      <c r="B117" s="11" t="s">
        <v>40</v>
      </c>
      <c r="C117" s="11" t="s">
        <v>78</v>
      </c>
      <c r="D117" s="12">
        <v>0.0</v>
      </c>
      <c r="E117" s="12">
        <v>0.0</v>
      </c>
      <c r="F117" s="12">
        <f t="shared" si="1"/>
        <v>0</v>
      </c>
    </row>
    <row r="118" ht="15.75" customHeight="1">
      <c r="A118" s="5" t="s">
        <v>13</v>
      </c>
      <c r="B118" s="5" t="s">
        <v>40</v>
      </c>
      <c r="C118" s="5" t="s">
        <v>80</v>
      </c>
      <c r="D118" s="6">
        <v>0.0</v>
      </c>
      <c r="E118" s="6">
        <v>0.0</v>
      </c>
      <c r="F118" s="6">
        <f t="shared" si="1"/>
        <v>0</v>
      </c>
    </row>
    <row r="119" ht="15.75" customHeight="1">
      <c r="A119" s="11" t="s">
        <v>13</v>
      </c>
      <c r="B119" s="11" t="s">
        <v>142</v>
      </c>
      <c r="C119" s="11" t="s">
        <v>70</v>
      </c>
      <c r="D119" s="12">
        <v>0.0</v>
      </c>
      <c r="E119" s="12">
        <v>0.0</v>
      </c>
      <c r="F119" s="12">
        <f t="shared" si="1"/>
        <v>0</v>
      </c>
    </row>
    <row r="120" ht="15.75" customHeight="1">
      <c r="A120" s="5" t="s">
        <v>13</v>
      </c>
      <c r="B120" s="5" t="s">
        <v>142</v>
      </c>
      <c r="C120" s="5" t="s">
        <v>71</v>
      </c>
      <c r="D120" s="6">
        <v>0.0</v>
      </c>
      <c r="E120" s="6">
        <v>0.0</v>
      </c>
      <c r="F120" s="6">
        <f t="shared" si="1"/>
        <v>0</v>
      </c>
    </row>
    <row r="121" ht="15.75" customHeight="1">
      <c r="A121" s="11" t="s">
        <v>13</v>
      </c>
      <c r="B121" s="11" t="s">
        <v>142</v>
      </c>
      <c r="C121" s="11" t="s">
        <v>33</v>
      </c>
      <c r="D121" s="12">
        <v>0.0</v>
      </c>
      <c r="E121" s="12">
        <v>0.0</v>
      </c>
      <c r="F121" s="12">
        <f t="shared" si="1"/>
        <v>0</v>
      </c>
    </row>
    <row r="122" ht="15.75" customHeight="1">
      <c r="A122" s="5" t="s">
        <v>13</v>
      </c>
      <c r="B122" s="5" t="s">
        <v>142</v>
      </c>
      <c r="C122" s="5" t="s">
        <v>74</v>
      </c>
      <c r="D122" s="6">
        <v>0.0</v>
      </c>
      <c r="E122" s="6">
        <v>0.0</v>
      </c>
      <c r="F122" s="6">
        <f t="shared" si="1"/>
        <v>0</v>
      </c>
    </row>
    <row r="123" ht="15.75" customHeight="1">
      <c r="A123" s="11" t="s">
        <v>13</v>
      </c>
      <c r="B123" s="11" t="s">
        <v>142</v>
      </c>
      <c r="C123" s="11" t="s">
        <v>75</v>
      </c>
      <c r="D123" s="12">
        <v>0.0</v>
      </c>
      <c r="E123" s="12">
        <v>0.0</v>
      </c>
      <c r="F123" s="12">
        <f t="shared" si="1"/>
        <v>0</v>
      </c>
    </row>
    <row r="124" ht="15.75" customHeight="1">
      <c r="A124" s="5" t="s">
        <v>13</v>
      </c>
      <c r="B124" s="5" t="s">
        <v>142</v>
      </c>
      <c r="C124" s="5" t="s">
        <v>77</v>
      </c>
      <c r="D124" s="6">
        <v>0.0</v>
      </c>
      <c r="E124" s="6">
        <v>0.0</v>
      </c>
      <c r="F124" s="6">
        <f t="shared" si="1"/>
        <v>0</v>
      </c>
    </row>
    <row r="125" ht="15.75" customHeight="1">
      <c r="A125" s="11" t="s">
        <v>13</v>
      </c>
      <c r="B125" s="11" t="s">
        <v>142</v>
      </c>
      <c r="C125" s="11" t="s">
        <v>78</v>
      </c>
      <c r="D125" s="12">
        <v>0.0</v>
      </c>
      <c r="E125" s="12">
        <v>0.0</v>
      </c>
      <c r="F125" s="12">
        <f t="shared" si="1"/>
        <v>0</v>
      </c>
    </row>
    <row r="126" ht="15.75" customHeight="1">
      <c r="A126" s="5" t="s">
        <v>13</v>
      </c>
      <c r="B126" s="5" t="s">
        <v>142</v>
      </c>
      <c r="C126" s="5" t="s">
        <v>80</v>
      </c>
      <c r="D126" s="6">
        <v>0.0</v>
      </c>
      <c r="E126" s="6">
        <v>0.0</v>
      </c>
      <c r="F126" s="6">
        <f t="shared" si="1"/>
        <v>0</v>
      </c>
    </row>
    <row r="127" ht="15.75" customHeight="1">
      <c r="A127" s="11" t="s">
        <v>13</v>
      </c>
      <c r="B127" s="11" t="s">
        <v>151</v>
      </c>
      <c r="C127" s="11" t="s">
        <v>70</v>
      </c>
      <c r="D127" s="12">
        <v>0.0</v>
      </c>
      <c r="E127" s="12">
        <v>0.0</v>
      </c>
      <c r="F127" s="12">
        <f t="shared" si="1"/>
        <v>0</v>
      </c>
    </row>
    <row r="128" ht="15.75" customHeight="1">
      <c r="A128" s="5" t="s">
        <v>13</v>
      </c>
      <c r="B128" s="5" t="s">
        <v>151</v>
      </c>
      <c r="C128" s="5" t="s">
        <v>71</v>
      </c>
      <c r="D128" s="6">
        <v>0.0</v>
      </c>
      <c r="E128" s="6">
        <v>0.0</v>
      </c>
      <c r="F128" s="6">
        <f t="shared" si="1"/>
        <v>0</v>
      </c>
    </row>
    <row r="129" ht="15.75" customHeight="1">
      <c r="A129" s="11" t="s">
        <v>13</v>
      </c>
      <c r="B129" s="11" t="s">
        <v>151</v>
      </c>
      <c r="C129" s="11" t="s">
        <v>33</v>
      </c>
      <c r="D129" s="12">
        <v>0.0</v>
      </c>
      <c r="E129" s="12">
        <v>0.0</v>
      </c>
      <c r="F129" s="12">
        <f t="shared" si="1"/>
        <v>0</v>
      </c>
    </row>
    <row r="130" ht="15.75" customHeight="1">
      <c r="A130" s="5" t="s">
        <v>13</v>
      </c>
      <c r="B130" s="5" t="s">
        <v>151</v>
      </c>
      <c r="C130" s="5" t="s">
        <v>74</v>
      </c>
      <c r="D130" s="6">
        <v>0.0</v>
      </c>
      <c r="E130" s="6">
        <v>0.0</v>
      </c>
      <c r="F130" s="6">
        <f t="shared" si="1"/>
        <v>0</v>
      </c>
    </row>
    <row r="131" ht="15.75" customHeight="1">
      <c r="A131" s="11" t="s">
        <v>13</v>
      </c>
      <c r="B131" s="11" t="s">
        <v>151</v>
      </c>
      <c r="C131" s="11" t="s">
        <v>75</v>
      </c>
      <c r="D131" s="12">
        <v>0.0</v>
      </c>
      <c r="E131" s="12">
        <v>0.0</v>
      </c>
      <c r="F131" s="12">
        <f t="shared" si="1"/>
        <v>0</v>
      </c>
    </row>
    <row r="132" ht="15.75" customHeight="1">
      <c r="A132" s="5" t="s">
        <v>13</v>
      </c>
      <c r="B132" s="5" t="s">
        <v>151</v>
      </c>
      <c r="C132" s="5" t="s">
        <v>77</v>
      </c>
      <c r="D132" s="6">
        <v>0.0</v>
      </c>
      <c r="E132" s="6">
        <v>0.0</v>
      </c>
      <c r="F132" s="6">
        <f t="shared" si="1"/>
        <v>0</v>
      </c>
    </row>
    <row r="133" ht="15.75" customHeight="1">
      <c r="A133" s="11" t="s">
        <v>13</v>
      </c>
      <c r="B133" s="11" t="s">
        <v>151</v>
      </c>
      <c r="C133" s="11" t="s">
        <v>78</v>
      </c>
      <c r="D133" s="12">
        <v>0.0</v>
      </c>
      <c r="E133" s="12">
        <v>0.0</v>
      </c>
      <c r="F133" s="12">
        <f t="shared" si="1"/>
        <v>0</v>
      </c>
    </row>
    <row r="134" ht="15.75" customHeight="1">
      <c r="A134" s="5" t="s">
        <v>13</v>
      </c>
      <c r="B134" s="5" t="s">
        <v>151</v>
      </c>
      <c r="C134" s="5" t="s">
        <v>80</v>
      </c>
      <c r="D134" s="6">
        <v>0.0</v>
      </c>
      <c r="E134" s="6">
        <v>0.0</v>
      </c>
      <c r="F134" s="6">
        <f t="shared" si="1"/>
        <v>0</v>
      </c>
    </row>
    <row r="135" ht="15.75" customHeight="1">
      <c r="A135" s="11" t="s">
        <v>13</v>
      </c>
      <c r="B135" s="11" t="s">
        <v>161</v>
      </c>
      <c r="C135" s="11" t="s">
        <v>15</v>
      </c>
      <c r="D135" s="12">
        <v>0.0</v>
      </c>
      <c r="E135" s="12">
        <v>0.0</v>
      </c>
      <c r="F135" s="12">
        <f t="shared" si="1"/>
        <v>0</v>
      </c>
    </row>
    <row r="136" ht="15.75" customHeight="1">
      <c r="A136" s="5" t="s">
        <v>13</v>
      </c>
      <c r="B136" s="5" t="s">
        <v>36</v>
      </c>
      <c r="C136" s="5" t="s">
        <v>70</v>
      </c>
      <c r="D136" s="6">
        <v>0.0</v>
      </c>
      <c r="E136" s="6">
        <v>0.0</v>
      </c>
      <c r="F136" s="6">
        <f t="shared" si="1"/>
        <v>0</v>
      </c>
    </row>
    <row r="137" ht="15.75" customHeight="1">
      <c r="A137" s="11" t="s">
        <v>13</v>
      </c>
      <c r="B137" s="11" t="s">
        <v>36</v>
      </c>
      <c r="C137" s="11" t="s">
        <v>71</v>
      </c>
      <c r="D137" s="12">
        <v>0.0</v>
      </c>
      <c r="E137" s="12">
        <v>0.0</v>
      </c>
      <c r="F137" s="12">
        <f t="shared" si="1"/>
        <v>0</v>
      </c>
    </row>
    <row r="138" ht="15.75" customHeight="1">
      <c r="A138" s="5" t="s">
        <v>13</v>
      </c>
      <c r="B138" s="5" t="s">
        <v>36</v>
      </c>
      <c r="C138" s="5" t="s">
        <v>74</v>
      </c>
      <c r="D138" s="6">
        <v>0.0</v>
      </c>
      <c r="E138" s="6">
        <v>0.0</v>
      </c>
      <c r="F138" s="6">
        <f t="shared" si="1"/>
        <v>0</v>
      </c>
    </row>
    <row r="139" ht="15.75" customHeight="1">
      <c r="A139" s="11" t="s">
        <v>13</v>
      </c>
      <c r="B139" s="11" t="s">
        <v>36</v>
      </c>
      <c r="C139" s="11" t="s">
        <v>75</v>
      </c>
      <c r="D139" s="12">
        <v>0.0</v>
      </c>
      <c r="E139" s="12">
        <v>0.0</v>
      </c>
      <c r="F139" s="12">
        <f t="shared" si="1"/>
        <v>0</v>
      </c>
    </row>
    <row r="140" ht="15.75" customHeight="1">
      <c r="A140" s="5" t="s">
        <v>13</v>
      </c>
      <c r="B140" s="5" t="s">
        <v>36</v>
      </c>
      <c r="C140" s="5" t="s">
        <v>77</v>
      </c>
      <c r="D140" s="6">
        <v>0.0</v>
      </c>
      <c r="E140" s="6">
        <v>0.0</v>
      </c>
      <c r="F140" s="6">
        <f t="shared" si="1"/>
        <v>0</v>
      </c>
    </row>
    <row r="141" ht="15.75" customHeight="1">
      <c r="A141" s="11" t="s">
        <v>13</v>
      </c>
      <c r="B141" s="11" t="s">
        <v>36</v>
      </c>
      <c r="C141" s="11" t="s">
        <v>78</v>
      </c>
      <c r="D141" s="12">
        <v>0.0</v>
      </c>
      <c r="E141" s="12">
        <v>0.0</v>
      </c>
      <c r="F141" s="12">
        <f t="shared" si="1"/>
        <v>0</v>
      </c>
    </row>
    <row r="142" ht="15.75" customHeight="1">
      <c r="A142" s="5" t="s">
        <v>13</v>
      </c>
      <c r="B142" s="5" t="s">
        <v>36</v>
      </c>
      <c r="C142" s="5" t="s">
        <v>80</v>
      </c>
      <c r="D142" s="6">
        <v>0.0</v>
      </c>
      <c r="E142" s="6">
        <v>0.0</v>
      </c>
      <c r="F142" s="6">
        <f t="shared" si="1"/>
        <v>0</v>
      </c>
    </row>
    <row r="143" ht="15.75" customHeight="1">
      <c r="A143" s="11" t="s">
        <v>13</v>
      </c>
      <c r="B143" s="11" t="s">
        <v>32</v>
      </c>
      <c r="C143" s="11" t="s">
        <v>70</v>
      </c>
      <c r="D143" s="12">
        <v>0.0</v>
      </c>
      <c r="E143" s="12">
        <v>0.0</v>
      </c>
      <c r="F143" s="12">
        <f t="shared" si="1"/>
        <v>0</v>
      </c>
    </row>
    <row r="144" ht="15.75" customHeight="1">
      <c r="A144" s="5" t="s">
        <v>13</v>
      </c>
      <c r="B144" s="5" t="s">
        <v>32</v>
      </c>
      <c r="C144" s="5" t="s">
        <v>71</v>
      </c>
      <c r="D144" s="6">
        <v>0.0</v>
      </c>
      <c r="E144" s="6">
        <v>0.0</v>
      </c>
      <c r="F144" s="6">
        <f t="shared" si="1"/>
        <v>0</v>
      </c>
    </row>
    <row r="145" ht="15.75" customHeight="1">
      <c r="A145" s="11" t="s">
        <v>13</v>
      </c>
      <c r="B145" s="11" t="s">
        <v>32</v>
      </c>
      <c r="C145" s="11" t="s">
        <v>74</v>
      </c>
      <c r="D145" s="12">
        <v>0.0</v>
      </c>
      <c r="E145" s="12">
        <v>0.0</v>
      </c>
      <c r="F145" s="12">
        <f t="shared" si="1"/>
        <v>0</v>
      </c>
    </row>
    <row r="146" ht="15.75" customHeight="1">
      <c r="A146" s="5" t="s">
        <v>13</v>
      </c>
      <c r="B146" s="5" t="s">
        <v>32</v>
      </c>
      <c r="C146" s="5" t="s">
        <v>75</v>
      </c>
      <c r="D146" s="6">
        <v>0.0</v>
      </c>
      <c r="E146" s="6">
        <v>0.0</v>
      </c>
      <c r="F146" s="6">
        <f t="shared" si="1"/>
        <v>0</v>
      </c>
    </row>
    <row r="147" ht="15.75" customHeight="1">
      <c r="A147" s="11" t="s">
        <v>13</v>
      </c>
      <c r="B147" s="11" t="s">
        <v>32</v>
      </c>
      <c r="C147" s="11" t="s">
        <v>77</v>
      </c>
      <c r="D147" s="12">
        <v>0.0</v>
      </c>
      <c r="E147" s="12">
        <v>0.0</v>
      </c>
      <c r="F147" s="12">
        <f t="shared" si="1"/>
        <v>0</v>
      </c>
    </row>
    <row r="148" ht="15.75" customHeight="1">
      <c r="A148" s="5" t="s">
        <v>13</v>
      </c>
      <c r="B148" s="5" t="s">
        <v>32</v>
      </c>
      <c r="C148" s="5" t="s">
        <v>78</v>
      </c>
      <c r="D148" s="6">
        <v>0.0</v>
      </c>
      <c r="E148" s="6">
        <v>0.0</v>
      </c>
      <c r="F148" s="6">
        <f t="shared" si="1"/>
        <v>0</v>
      </c>
    </row>
    <row r="149" ht="15.75" customHeight="1">
      <c r="A149" s="11" t="s">
        <v>13</v>
      </c>
      <c r="B149" s="11" t="s">
        <v>32</v>
      </c>
      <c r="C149" s="11" t="s">
        <v>80</v>
      </c>
      <c r="D149" s="12">
        <v>0.0</v>
      </c>
      <c r="E149" s="12">
        <v>0.0</v>
      </c>
      <c r="F149" s="12">
        <f t="shared" si="1"/>
        <v>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49">
    <sortState ref="A3:F149">
      <sortCondition descending="1" ref="F3:F149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63"/>
    <col customWidth="1" min="3" max="3" width="38.13"/>
    <col customWidth="1" min="4" max="4" width="61.0"/>
    <col customWidth="1" min="5" max="5" width="13.25"/>
    <col customWidth="1" min="6" max="7" width="9.13"/>
    <col customWidth="1" min="8" max="8" width="15.38"/>
    <col customWidth="1" min="9" max="26" width="8.63"/>
  </cols>
  <sheetData>
    <row r="1">
      <c r="A1" s="24" t="s">
        <v>92</v>
      </c>
      <c r="B1" s="25"/>
      <c r="C1" s="25"/>
      <c r="D1" s="25"/>
      <c r="E1" s="2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4" t="s">
        <v>4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9</v>
      </c>
      <c r="G3" s="4" t="s">
        <v>10</v>
      </c>
      <c r="H3" s="4" t="s">
        <v>11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6" t="s">
        <v>98</v>
      </c>
      <c r="B4" s="26" t="s">
        <v>99</v>
      </c>
      <c r="C4" s="26" t="s">
        <v>100</v>
      </c>
      <c r="D4" s="26" t="s">
        <v>101</v>
      </c>
      <c r="E4" s="8" t="s">
        <v>102</v>
      </c>
      <c r="F4" s="9">
        <v>0.0</v>
      </c>
      <c r="G4" s="9">
        <v>0.0</v>
      </c>
      <c r="H4" s="9">
        <f t="shared" ref="H4:H32" si="1">F4-G4</f>
        <v>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7" t="s">
        <v>98</v>
      </c>
      <c r="B5" s="27" t="s">
        <v>99</v>
      </c>
      <c r="C5" s="27" t="s">
        <v>103</v>
      </c>
      <c r="D5" s="27" t="s">
        <v>104</v>
      </c>
      <c r="E5" s="14" t="s">
        <v>105</v>
      </c>
      <c r="F5" s="16">
        <v>0.0</v>
      </c>
      <c r="G5" s="16">
        <v>0.0</v>
      </c>
      <c r="H5" s="16">
        <f t="shared" si="1"/>
        <v>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6" t="s">
        <v>98</v>
      </c>
      <c r="B6" s="26" t="s">
        <v>99</v>
      </c>
      <c r="C6" s="26" t="s">
        <v>107</v>
      </c>
      <c r="D6" s="26" t="s">
        <v>108</v>
      </c>
      <c r="E6" s="8" t="s">
        <v>105</v>
      </c>
      <c r="F6" s="9">
        <v>0.0</v>
      </c>
      <c r="G6" s="9">
        <v>0.0</v>
      </c>
      <c r="H6" s="9">
        <f t="shared" si="1"/>
        <v>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7" t="s">
        <v>98</v>
      </c>
      <c r="B7" s="27" t="s">
        <v>99</v>
      </c>
      <c r="C7" s="27" t="s">
        <v>109</v>
      </c>
      <c r="D7" s="27" t="s">
        <v>108</v>
      </c>
      <c r="E7" s="14" t="s">
        <v>102</v>
      </c>
      <c r="F7" s="16">
        <v>0.0</v>
      </c>
      <c r="G7" s="16">
        <v>0.0</v>
      </c>
      <c r="H7" s="16">
        <f t="shared" si="1"/>
        <v>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6" t="s">
        <v>98</v>
      </c>
      <c r="B8" s="26" t="s">
        <v>99</v>
      </c>
      <c r="C8" s="26" t="s">
        <v>110</v>
      </c>
      <c r="D8" s="26" t="s">
        <v>111</v>
      </c>
      <c r="E8" s="8" t="s">
        <v>105</v>
      </c>
      <c r="F8" s="9">
        <v>1.0</v>
      </c>
      <c r="G8" s="9">
        <v>0.0</v>
      </c>
      <c r="H8" s="9">
        <f t="shared" si="1"/>
        <v>1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7" t="s">
        <v>98</v>
      </c>
      <c r="B9" s="27" t="s">
        <v>99</v>
      </c>
      <c r="C9" s="27" t="s">
        <v>112</v>
      </c>
      <c r="D9" s="27" t="s">
        <v>111</v>
      </c>
      <c r="E9" s="14" t="s">
        <v>102</v>
      </c>
      <c r="F9" s="16">
        <v>1.0</v>
      </c>
      <c r="G9" s="16">
        <v>0.0</v>
      </c>
      <c r="H9" s="16">
        <f t="shared" si="1"/>
        <v>1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98</v>
      </c>
      <c r="B10" s="26" t="s">
        <v>99</v>
      </c>
      <c r="C10" s="26" t="s">
        <v>113</v>
      </c>
      <c r="D10" s="26" t="s">
        <v>114</v>
      </c>
      <c r="E10" s="8" t="s">
        <v>105</v>
      </c>
      <c r="F10" s="9">
        <v>2.0</v>
      </c>
      <c r="G10" s="9">
        <v>0.0</v>
      </c>
      <c r="H10" s="9">
        <f t="shared" si="1"/>
        <v>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98</v>
      </c>
      <c r="B11" s="27" t="s">
        <v>99</v>
      </c>
      <c r="C11" s="27" t="s">
        <v>115</v>
      </c>
      <c r="D11" s="27" t="s">
        <v>114</v>
      </c>
      <c r="E11" s="14" t="s">
        <v>102</v>
      </c>
      <c r="F11" s="16">
        <v>1.0</v>
      </c>
      <c r="G11" s="16">
        <v>0.0</v>
      </c>
      <c r="H11" s="16">
        <f t="shared" si="1"/>
        <v>1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6" t="s">
        <v>98</v>
      </c>
      <c r="B12" s="26" t="s">
        <v>116</v>
      </c>
      <c r="C12" s="26" t="s">
        <v>117</v>
      </c>
      <c r="D12" s="26" t="s">
        <v>118</v>
      </c>
      <c r="E12" s="8" t="s">
        <v>105</v>
      </c>
      <c r="F12" s="9">
        <v>0.0</v>
      </c>
      <c r="G12" s="9">
        <v>0.0</v>
      </c>
      <c r="H12" s="9">
        <f t="shared" si="1"/>
        <v>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7" t="s">
        <v>98</v>
      </c>
      <c r="B13" s="27" t="s">
        <v>116</v>
      </c>
      <c r="C13" s="27" t="s">
        <v>119</v>
      </c>
      <c r="D13" s="27" t="s">
        <v>118</v>
      </c>
      <c r="E13" s="14" t="s">
        <v>102</v>
      </c>
      <c r="F13" s="16">
        <v>0.0</v>
      </c>
      <c r="G13" s="16">
        <v>0.0</v>
      </c>
      <c r="H13" s="16">
        <f t="shared" si="1"/>
        <v>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6" t="s">
        <v>98</v>
      </c>
      <c r="B14" s="26" t="s">
        <v>116</v>
      </c>
      <c r="C14" s="26" t="s">
        <v>121</v>
      </c>
      <c r="D14" s="26" t="s">
        <v>122</v>
      </c>
      <c r="E14" s="8" t="s">
        <v>102</v>
      </c>
      <c r="F14" s="9">
        <v>0.0</v>
      </c>
      <c r="G14" s="9">
        <v>0.0</v>
      </c>
      <c r="H14" s="9">
        <f t="shared" si="1"/>
        <v>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7" t="s">
        <v>98</v>
      </c>
      <c r="B15" s="27" t="s">
        <v>116</v>
      </c>
      <c r="C15" s="27" t="s">
        <v>123</v>
      </c>
      <c r="D15" s="27" t="s">
        <v>124</v>
      </c>
      <c r="E15" s="14" t="s">
        <v>102</v>
      </c>
      <c r="F15" s="16">
        <v>0.0</v>
      </c>
      <c r="G15" s="16">
        <v>0.0</v>
      </c>
      <c r="H15" s="16">
        <f t="shared" si="1"/>
        <v>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6" t="s">
        <v>98</v>
      </c>
      <c r="B16" s="26" t="s">
        <v>116</v>
      </c>
      <c r="C16" s="26" t="s">
        <v>125</v>
      </c>
      <c r="D16" s="26" t="s">
        <v>126</v>
      </c>
      <c r="E16" s="8" t="s">
        <v>105</v>
      </c>
      <c r="F16" s="9">
        <v>0.0</v>
      </c>
      <c r="G16" s="9">
        <v>0.0</v>
      </c>
      <c r="H16" s="9">
        <f t="shared" si="1"/>
        <v>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7" t="s">
        <v>98</v>
      </c>
      <c r="B17" s="27" t="s">
        <v>116</v>
      </c>
      <c r="C17" s="27" t="s">
        <v>127</v>
      </c>
      <c r="D17" s="27" t="s">
        <v>126</v>
      </c>
      <c r="E17" s="14" t="s">
        <v>102</v>
      </c>
      <c r="F17" s="16">
        <v>2.0</v>
      </c>
      <c r="G17" s="16">
        <v>0.0</v>
      </c>
      <c r="H17" s="16">
        <f t="shared" si="1"/>
        <v>2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6" t="s">
        <v>98</v>
      </c>
      <c r="B18" s="26" t="s">
        <v>116</v>
      </c>
      <c r="C18" s="26" t="s">
        <v>128</v>
      </c>
      <c r="D18" s="26" t="s">
        <v>129</v>
      </c>
      <c r="E18" s="8" t="s">
        <v>105</v>
      </c>
      <c r="F18" s="9">
        <v>0.0</v>
      </c>
      <c r="G18" s="9">
        <v>0.0</v>
      </c>
      <c r="H18" s="9">
        <f t="shared" si="1"/>
        <v>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98</v>
      </c>
      <c r="B19" s="27" t="s">
        <v>116</v>
      </c>
      <c r="C19" s="27" t="s">
        <v>130</v>
      </c>
      <c r="D19" s="27" t="s">
        <v>131</v>
      </c>
      <c r="E19" s="14" t="s">
        <v>102</v>
      </c>
      <c r="F19" s="16">
        <v>0.0</v>
      </c>
      <c r="G19" s="16">
        <v>0.0</v>
      </c>
      <c r="H19" s="16">
        <f t="shared" si="1"/>
        <v>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6" t="s">
        <v>98</v>
      </c>
      <c r="B20" s="26" t="s">
        <v>132</v>
      </c>
      <c r="C20" s="26" t="s">
        <v>133</v>
      </c>
      <c r="D20" s="26" t="s">
        <v>134</v>
      </c>
      <c r="E20" s="8" t="s">
        <v>135</v>
      </c>
      <c r="F20" s="9">
        <v>0.0</v>
      </c>
      <c r="G20" s="9">
        <v>0.0</v>
      </c>
      <c r="H20" s="9">
        <f t="shared" si="1"/>
        <v>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7" t="s">
        <v>98</v>
      </c>
      <c r="B21" s="27" t="s">
        <v>132</v>
      </c>
      <c r="C21" s="27" t="s">
        <v>136</v>
      </c>
      <c r="D21" s="27" t="s">
        <v>137</v>
      </c>
      <c r="E21" s="14" t="s">
        <v>102</v>
      </c>
      <c r="F21" s="16">
        <v>0.0</v>
      </c>
      <c r="G21" s="16">
        <v>0.0</v>
      </c>
      <c r="H21" s="16">
        <f t="shared" si="1"/>
        <v>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6" t="s">
        <v>98</v>
      </c>
      <c r="B22" s="26" t="s">
        <v>138</v>
      </c>
      <c r="C22" s="26" t="s">
        <v>139</v>
      </c>
      <c r="D22" s="26" t="s">
        <v>140</v>
      </c>
      <c r="E22" s="8" t="s">
        <v>141</v>
      </c>
      <c r="F22" s="9">
        <v>0.0</v>
      </c>
      <c r="G22" s="9">
        <v>0.0</v>
      </c>
      <c r="H22" s="9">
        <f t="shared" si="1"/>
        <v>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7" t="s">
        <v>98</v>
      </c>
      <c r="B23" s="27" t="s">
        <v>138</v>
      </c>
      <c r="C23" s="27" t="s">
        <v>143</v>
      </c>
      <c r="D23" s="27" t="s">
        <v>144</v>
      </c>
      <c r="E23" s="14" t="s">
        <v>141</v>
      </c>
      <c r="F23" s="16">
        <v>40.0</v>
      </c>
      <c r="G23" s="16">
        <v>0.0</v>
      </c>
      <c r="H23" s="16">
        <f t="shared" si="1"/>
        <v>40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6" t="s">
        <v>98</v>
      </c>
      <c r="B24" s="26" t="s">
        <v>138</v>
      </c>
      <c r="C24" s="26" t="s">
        <v>145</v>
      </c>
      <c r="D24" s="26" t="s">
        <v>146</v>
      </c>
      <c r="E24" s="8" t="s">
        <v>141</v>
      </c>
      <c r="F24" s="9">
        <v>0.0</v>
      </c>
      <c r="G24" s="9">
        <v>0.0</v>
      </c>
      <c r="H24" s="9">
        <f t="shared" si="1"/>
        <v>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7" t="s">
        <v>98</v>
      </c>
      <c r="B25" s="27" t="s">
        <v>138</v>
      </c>
      <c r="C25" s="27" t="s">
        <v>147</v>
      </c>
      <c r="D25" s="27" t="s">
        <v>148</v>
      </c>
      <c r="E25" s="14" t="s">
        <v>141</v>
      </c>
      <c r="F25" s="16">
        <v>0.0</v>
      </c>
      <c r="G25" s="16">
        <v>0.0</v>
      </c>
      <c r="H25" s="16">
        <f t="shared" si="1"/>
        <v>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6" t="s">
        <v>98</v>
      </c>
      <c r="B26" s="26" t="s">
        <v>138</v>
      </c>
      <c r="C26" s="26" t="s">
        <v>149</v>
      </c>
      <c r="D26" s="26" t="s">
        <v>150</v>
      </c>
      <c r="E26" s="8" t="s">
        <v>141</v>
      </c>
      <c r="F26" s="9">
        <v>0.0</v>
      </c>
      <c r="G26" s="9">
        <v>0.0</v>
      </c>
      <c r="H26" s="9">
        <f t="shared" si="1"/>
        <v>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7" t="s">
        <v>98</v>
      </c>
      <c r="B27" s="27" t="s">
        <v>138</v>
      </c>
      <c r="C27" s="27" t="s">
        <v>152</v>
      </c>
      <c r="D27" s="27" t="s">
        <v>153</v>
      </c>
      <c r="E27" s="14" t="s">
        <v>141</v>
      </c>
      <c r="F27" s="16">
        <v>0.0</v>
      </c>
      <c r="G27" s="16">
        <v>0.0</v>
      </c>
      <c r="H27" s="16">
        <f t="shared" si="1"/>
        <v>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6" t="s">
        <v>98</v>
      </c>
      <c r="B28" s="26" t="s">
        <v>154</v>
      </c>
      <c r="C28" s="26" t="s">
        <v>155</v>
      </c>
      <c r="D28" s="26" t="s">
        <v>156</v>
      </c>
      <c r="E28" s="8" t="s">
        <v>141</v>
      </c>
      <c r="F28" s="9">
        <v>0.0</v>
      </c>
      <c r="G28" s="9">
        <v>0.0</v>
      </c>
      <c r="H28" s="9">
        <f t="shared" si="1"/>
        <v>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98</v>
      </c>
      <c r="B29" s="27" t="s">
        <v>154</v>
      </c>
      <c r="C29" s="27" t="s">
        <v>157</v>
      </c>
      <c r="D29" s="27" t="s">
        <v>158</v>
      </c>
      <c r="E29" s="14" t="s">
        <v>141</v>
      </c>
      <c r="F29" s="16">
        <v>0.0</v>
      </c>
      <c r="G29" s="16">
        <v>0.0</v>
      </c>
      <c r="H29" s="16">
        <f t="shared" si="1"/>
        <v>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6" t="s">
        <v>98</v>
      </c>
      <c r="B30" s="26" t="s">
        <v>154</v>
      </c>
      <c r="C30" s="26" t="s">
        <v>159</v>
      </c>
      <c r="D30" s="26" t="s">
        <v>160</v>
      </c>
      <c r="E30" s="8" t="s">
        <v>141</v>
      </c>
      <c r="F30" s="9">
        <v>0.0</v>
      </c>
      <c r="G30" s="9">
        <v>0.0</v>
      </c>
      <c r="H30" s="9">
        <f t="shared" si="1"/>
        <v>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7" t="s">
        <v>98</v>
      </c>
      <c r="B31" s="27" t="s">
        <v>154</v>
      </c>
      <c r="C31" s="27" t="s">
        <v>162</v>
      </c>
      <c r="D31" s="27" t="s">
        <v>162</v>
      </c>
      <c r="E31" s="14" t="s">
        <v>141</v>
      </c>
      <c r="F31" s="16">
        <v>3.0</v>
      </c>
      <c r="G31" s="16">
        <v>0.0</v>
      </c>
      <c r="H31" s="16">
        <f t="shared" si="1"/>
        <v>3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6" t="s">
        <v>98</v>
      </c>
      <c r="B32" s="26" t="s">
        <v>154</v>
      </c>
      <c r="C32" s="26" t="s">
        <v>163</v>
      </c>
      <c r="D32" s="26" t="s">
        <v>163</v>
      </c>
      <c r="E32" s="8" t="s">
        <v>141</v>
      </c>
      <c r="F32" s="9">
        <v>3.0</v>
      </c>
      <c r="G32" s="9">
        <v>0.0</v>
      </c>
      <c r="H32" s="9">
        <f t="shared" si="1"/>
        <v>3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25"/>
      <c r="D33" s="25"/>
      <c r="E33" s="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25"/>
      <c r="D34" s="25"/>
      <c r="E34" s="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25"/>
      <c r="D35" s="25"/>
      <c r="E35" s="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25"/>
      <c r="D36" s="25"/>
      <c r="E36" s="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25"/>
      <c r="D37" s="25"/>
      <c r="E37" s="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25"/>
      <c r="D40" s="25"/>
      <c r="E40" s="2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25"/>
      <c r="D41" s="25"/>
      <c r="E41" s="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25"/>
      <c r="D42" s="25"/>
      <c r="E42" s="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25"/>
      <c r="D43" s="25"/>
      <c r="E43" s="2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25"/>
      <c r="D44" s="25"/>
      <c r="E44" s="2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25"/>
      <c r="D45" s="25"/>
      <c r="E45" s="2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25"/>
      <c r="D46" s="25"/>
      <c r="E46" s="2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25"/>
      <c r="D48" s="25"/>
      <c r="E48" s="2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25"/>
      <c r="D49" s="25"/>
      <c r="E49" s="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3:$H$3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2026-07-20T17:26:30Z</dcterms:created>
  <dc:creator>Christian Lion</dc:creator>
</cp:coreProperties>
</file>