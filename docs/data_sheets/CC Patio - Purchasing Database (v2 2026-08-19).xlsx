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Item Catalog" sheetId="2" r:id="rId6"/>
    <sheet state="visible" name="Purchase History" sheetId="3" r:id="rId7"/>
    <sheet state="visible" name="REVIEW GUIDE" sheetId="4" r:id="rId8"/>
    <sheet state="visible" name="A. SET MIN-MAX" sheetId="5" r:id="rId9"/>
    <sheet state="visible" name="B. BUYING TOO OFTEN" sheetId="6" r:id="rId10"/>
    <sheet state="visible" name="C. BOUGHT ONCE" sheetId="7" r:id="rId11"/>
    <sheet state="visible" name="D. MISSING DATA" sheetId="8" r:id="rId12"/>
    <sheet state="visible" name="E. NOT REAL ITEMS" sheetId="9" r:id="rId13"/>
    <sheet state="visible" name="F. NOT IN CATALOG" sheetId="10" r:id="rId14"/>
  </sheets>
  <definedNames>
    <definedName hidden="1" localSheetId="1" name="_xlnm._FilterDatabase">'Item Catalog'!$A$1:$S$203</definedName>
    <definedName hidden="1" localSheetId="2" name="_xlnm._FilterDatabase">'Purchase History'!$A$1:$J$410</definedName>
    <definedName hidden="1" localSheetId="4" name="_xlnm._FilterDatabase">'A. SET MIN-MAX'!$A$4:$Q$90</definedName>
    <definedName hidden="1" localSheetId="5" name="_xlnm._FilterDatabase">'B. BUYING TOO OFTEN'!$A$4:$L$33</definedName>
    <definedName hidden="1" localSheetId="6" name="_xlnm._FilterDatabase">'C. BOUGHT ONCE'!$A$4:$I$58</definedName>
    <definedName hidden="1" localSheetId="9" name="_xlnm._FilterDatabase">'F. NOT IN CATALOG'!$A$4:$J$52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tc={3da15c06-23f9-4834-80ae-3ee066b84e8b}</author>
    <author>tc={8865c45f-bebc-4459-8b17-32568f59fa90}</author>
  </authors>
  <commentList>
    <comment authorId="0" xr:uid="{3da15c06-23f9-4834-80ae-3ee066b84e8b}" ref="M1">
      <text>
        <t xml:space="preserve">[Threaded comment]
 Your version of Excel allows you to read this threaded comment; however, any edits to it will get removed if the file is opened in a newer version of Excel. Learn more: https://go.microsoft.com/fwlink/?linkid=870924
Comment:
	MIN: when On-Hand &lt;= this, reorder. Consumables seeded from history; metal blank for the owner to set.
</t>
      </text>
    </comment>
    <comment authorId="1" xr:uid="{8865c45f-bebc-4459-8b17-32568f59fa90}" ref="N1">
      <text>
        <t xml:space="preserve">[Threaded comment]
 Your version of Excel allows you to read this threaded comment; however, any edits to it will get removed if the file is opened in a newer version of Excel. Learn more: https://go.microsoft.com/fwlink/?linkid=870924
Comment:
	MAX: order back up to this level.
</t>
      </text>
    </comment>
  </commentList>
</comments>
</file>

<file path=xl/sharedStrings.xml><?xml version="1.0" encoding="utf-8"?>
<sst xmlns="http://schemas.openxmlformats.org/spreadsheetml/2006/main" count="8349" uniqueCount="2399">
  <si>
    <t>CC Patio — Purchasing Database</t>
  </si>
  <si>
    <t>What we use · pricing · vendor · department &amp; operation · min/max reorder</t>
  </si>
  <si>
    <t>Built 2026-08-12 · seeded from Tools For The Trade + Arizona Iron Supply + Industrial Metal Supply invoices</t>
  </si>
  <si>
    <t>The point of this sheet</t>
  </si>
  <si>
    <t>Every item the operation buys, on one sortable list. Each department has an owner who keeps their items' On-Hand current and submits purchase requests on time — so we stop ordering at the last minute.</t>
  </si>
  <si>
    <t>Purchasing Standardization — team review</t>
  </si>
  <si>
    <t>Date</t>
  </si>
  <si>
    <t>How the min / max reorder system works</t>
  </si>
  <si>
    <t>Reorder Point (Min)</t>
  </si>
  <si>
    <t>Invoice / SO #</t>
  </si>
  <si>
    <t>Added 19 Aug 2026 · built from this workbook's own 207 catalog items, 409 purchase lines and 460 Amazon lines</t>
  </si>
  <si>
    <t>The trigger. When On-Hand drops to or below this, order.</t>
  </si>
  <si>
    <t>Vendor</t>
  </si>
  <si>
    <t>Department</t>
  </si>
  <si>
    <t>Fulfillment Point (Max)</t>
  </si>
  <si>
    <t>Item</t>
  </si>
  <si>
    <t>The level to restock up to.</t>
  </si>
  <si>
    <t>SKU / Code</t>
  </si>
  <si>
    <t>Qty</t>
  </si>
  <si>
    <t>Order Qty (auto)</t>
  </si>
  <si>
    <t>Unit</t>
  </si>
  <si>
    <t>Max − On-Hand, shown only when the item is at/below its Min.</t>
  </si>
  <si>
    <t>Unit Cost</t>
  </si>
  <si>
    <t>Below Reorder? (auto)</t>
  </si>
  <si>
    <t>Line Total</t>
  </si>
  <si>
    <t>Flags REORDER the moment On-Hand is at/below the Min.</t>
  </si>
  <si>
    <t>The two questions</t>
  </si>
  <si>
    <t>Lead Time (days)</t>
  </si>
  <si>
    <t>Notes</t>
  </si>
  <si>
    <t>How far ahead the vendor needs. Order early enough that it arrives in time.</t>
  </si>
  <si>
    <t>Are we buying things we don't need, and are we running out of things we do. Every number below comes from what CC Patio actually bought.</t>
  </si>
  <si>
    <t>Metal pricing note</t>
  </si>
  <si>
    <t>Metal is priced two ways: Arizona Iron Supply sells full 20' sticks (catalog price is per foot; the per-stick cost is in Notes), while Industrial Metal Supply (IMS) cuts to length (per linear foot) or sells by weight (per lb) or each. Check Unit before setting Min/Max. The same profile often has both a steel and an aluminum version, and sometimes two vendors — compare and pick.</t>
  </si>
  <si>
    <t>Work the tabs in order — each has a DECISION dropdown and yellow cells to fill in</t>
  </si>
  <si>
    <t>A · SET MIN-MAX — 86 catalog items where real usage could be measured. Proposed values next to whatever is set today.</t>
  </si>
  <si>
    <t>B · BUYING TOO OFTEN — 29 items reordered 5+ times. Each reorder is an interruption, not just a cost.</t>
  </si>
  <si>
    <t>The department owner's job</t>
  </si>
  <si>
    <t>C · BOUGHT ONCE — 54 items over $100 bought once and never again.</t>
  </si>
  <si>
    <t>10030725</t>
  </si>
  <si>
    <t>Each department has ONE named owner. Sort to your department, keep On-Hand current, and when Below Reorder? says REORDER, submit a request for the Order Qty shown — allowing the Lead Time. Memorize your min/max so you catch it early.</t>
  </si>
  <si>
    <t>D · MISSING DATA — the gaps that stop the reorder system working at all. Assign an owner and a date.</t>
  </si>
  <si>
    <t>Industrial Metal Supply</t>
  </si>
  <si>
    <t>Metal</t>
  </si>
  <si>
    <t>E · NOT REAL ITEMS — freight, tax and cylinder charges sitting in Purchase History as if they were products.</t>
  </si>
  <si>
    <t>6061-T6 Alum Sq Tube 2 sq x 1/8</t>
  </si>
  <si>
    <t>Color legend</t>
  </si>
  <si>
    <t>61ST20012</t>
  </si>
  <si>
    <t>F · NOT IN CATALOG — bought 2+ times, never catalogued. These can run out with nothing to flag it.</t>
  </si>
  <si>
    <t>Read this before approving anything in Tab A</t>
  </si>
  <si>
    <t>lf</t>
  </si>
  <si>
    <t>Not one of the 207 items has an On-Hand count. Below Reorder? compares On-Hand to Min — with no count it can never fire. No item has a lead time either. Tab A is a set of targets, not a system you can switch on.</t>
  </si>
  <si>
    <t>Yellow = you fill in (On-Hand, Min, Max, Lead Time, and price/vendor where blank).</t>
  </si>
  <si>
    <t>How the proposed numbers were calculated</t>
  </si>
  <si>
    <t>Monthly usage = everything bought AFTER the first order, divided by the days between first and last order. That measures what was consumed rather than counting the initial stock-up as usage.</t>
  </si>
  <si>
    <t>Proposed Min ≈ 1 month of usage.  Proposed Max ≈ 2.5 months. Conservative, and assumes nothing about lead time.</t>
  </si>
  <si>
    <t>Grey auto columns / blue headers = formulas, don't edit.</t>
  </si>
  <si>
    <t>Once vendors confirm lead times, Min should become: usage during the lead time, plus a safety buffer.</t>
  </si>
  <si>
    <t>Adding invoices</t>
  </si>
  <si>
    <t>One caveat to say out loud</t>
  </si>
  <si>
    <t>Send a photo/PDF of any invoice and I'll add the lines to Purchase History, update prices here, and add new items/vendors — tagged to the right department and operation.</t>
  </si>
  <si>
    <t>6061-T6 Alum Rect Tube 1 x 2 x 1/8</t>
  </si>
  <si>
    <t>61RT10020012</t>
  </si>
  <si>
    <t>For Arizona Iron Supply, Just Foam, Diamond Vogel, Allied Gases and Industrial Metal — $164K of $175K total spend — these usage figures come from data that stops 12 to 32 months ago. The math is right; the inputs are stale.</t>
  </si>
  <si>
    <t>10258650</t>
  </si>
  <si>
    <t>6061-T6511 Alum Ext Rnd 1/2 rd</t>
  </si>
  <si>
    <t>61ER0500</t>
  </si>
  <si>
    <t>lb</t>
  </si>
  <si>
    <t>10340380</t>
  </si>
  <si>
    <t>HR Steel Flat 1/4 x 3</t>
  </si>
  <si>
    <t>10025300</t>
  </si>
  <si>
    <t>CR999901436</t>
  </si>
  <si>
    <t>Diamond Vogel</t>
  </si>
  <si>
    <t>FREIGHT CREDIT</t>
  </si>
  <si>
    <t>ea</t>
  </si>
  <si>
    <t>CD99041927</t>
  </si>
  <si>
    <t>Fanuc Gray Texture TGIC Polyester</t>
  </si>
  <si>
    <t>ET03-43716-750</t>
  </si>
  <si>
    <t>23897</t>
  </si>
  <si>
    <t>Arizona Iron Supply</t>
  </si>
  <si>
    <t>2 X 2 X 16GA SQ TUBE</t>
  </si>
  <si>
    <t>TB22060</t>
  </si>
  <si>
    <t>pc</t>
  </si>
  <si>
    <t>DELIVERY CHARGE/FUEL SURCHARGE</t>
  </si>
  <si>
    <t>DEL</t>
  </si>
  <si>
    <t>23980</t>
  </si>
  <si>
    <t>1/2 HOT ROLLED ROUND SOLID</t>
  </si>
  <si>
    <t>RDH12</t>
  </si>
  <si>
    <t>2 X 3/4 X 16GA REC TUBE</t>
  </si>
  <si>
    <t>TB234060</t>
  </si>
  <si>
    <t>1/8 X 1-1/2 HR FLAT BAR</t>
  </si>
  <si>
    <t>FH18112</t>
  </si>
  <si>
    <t>Item ID</t>
  </si>
  <si>
    <t>23981</t>
  </si>
  <si>
    <t>W12 X 14# BEAM 35FT 2PCS</t>
  </si>
  <si>
    <t>MISCS</t>
  </si>
  <si>
    <t>lot</t>
  </si>
  <si>
    <t>W18 X 40# BEAM 35FT 2 PCS</t>
  </si>
  <si>
    <t>W18 X 35# BEAM 35FT 8 PCS</t>
  </si>
  <si>
    <t>Operation</t>
  </si>
  <si>
    <t>W18 X 50# BEAM 35FT 2 PCS</t>
  </si>
  <si>
    <t>Item / Description</t>
  </si>
  <si>
    <t>Item Name</t>
  </si>
  <si>
    <t>W16 X 26# BEAM 25FT 6 PCS</t>
  </si>
  <si>
    <t>Description</t>
  </si>
  <si>
    <t>Brand: AmazonCommercial · Seller: Amazon · Use: Restroom/Paper · Amazon cat: Health and Beauty</t>
  </si>
  <si>
    <t>SKU / Spec</t>
  </si>
  <si>
    <t>W24 X 55# BEAM 35FT 1 PC</t>
  </si>
  <si>
    <t>24065</t>
  </si>
  <si>
    <t>3/8 STEEL PLATE</t>
  </si>
  <si>
    <t>PL38</t>
  </si>
  <si>
    <t>Unit Price ($)</t>
  </si>
  <si>
    <t>On-Hand</t>
  </si>
  <si>
    <t>24066</t>
  </si>
  <si>
    <t>3/16 X 1-1/2 HR FLAT BAR</t>
  </si>
  <si>
    <t>FH316112</t>
  </si>
  <si>
    <t>3/16 X 2 HR FLAT BAR</t>
  </si>
  <si>
    <t>FH3162</t>
  </si>
  <si>
    <t>Last Purchased</t>
  </si>
  <si>
    <t>24313</t>
  </si>
  <si>
    <t>2 X 1 X 11GA REC TUBE</t>
  </si>
  <si>
    <t>TB21120</t>
  </si>
  <si>
    <t>SEW-001</t>
  </si>
  <si>
    <t>2 X 2 X 11GA SQ TUBE</t>
  </si>
  <si>
    <t>TB22120</t>
  </si>
  <si>
    <t>A · SET MIN / MAX — from real usage</t>
  </si>
  <si>
    <t>CUSHIONS</t>
  </si>
  <si>
    <t>24410</t>
  </si>
  <si>
    <t>CUTTING (FABRIC)</t>
  </si>
  <si>
    <t>1-1/2 X 3/4 X 16GA REC TUBE</t>
  </si>
  <si>
    <t>TB11234060</t>
  </si>
  <si>
    <t>Replacement blades for electric fabric rotary cutter, 70mm</t>
  </si>
  <si>
    <t>1-1/2 X 1/2 X 16GA REC TUBE</t>
  </si>
  <si>
    <t>TB11212060</t>
  </si>
  <si>
    <t>HOT ROLLED SHEET 16 GAUGE</t>
  </si>
  <si>
    <t>SH16</t>
  </si>
  <si>
    <t>Monthly usage measured from actual purchases. Proposed Min ≈ 1 month, Max ≈ 2.5 months. Yellow = fill in.</t>
  </si>
  <si>
    <t>FABRIC CUTTING BLADE REPLACEMENTS</t>
  </si>
  <si>
    <t>1/4 X 3 HR FLAT BAR</t>
  </si>
  <si>
    <t>FH143</t>
  </si>
  <si>
    <t>Dept</t>
  </si>
  <si>
    <t>Orders</t>
  </si>
  <si>
    <t>Every (days)</t>
  </si>
  <si>
    <t>Last bought</t>
  </si>
  <si>
    <t>Used /month</t>
  </si>
  <si>
    <t>24600</t>
  </si>
  <si>
    <t>Min today</t>
  </si>
  <si>
    <t>Max today</t>
  </si>
  <si>
    <t>1-1/2 X 1 X 11GA REC TUBE</t>
  </si>
  <si>
    <t>PROPOSED Min</t>
  </si>
  <si>
    <t>TB1121120</t>
  </si>
  <si>
    <t>PROPOSED Max</t>
  </si>
  <si>
    <t>On-Hand now</t>
  </si>
  <si>
    <t>Lead time (days)</t>
  </si>
  <si>
    <t>DECISION</t>
  </si>
  <si>
    <t>Notes from meeting</t>
  </si>
  <si>
    <t>ABR-007</t>
  </si>
  <si>
    <t>Scuff pads, maroon general purpose, 6" x 9" (10-pack)</t>
  </si>
  <si>
    <t>Amazon</t>
  </si>
  <si>
    <t>10-PK</t>
  </si>
  <si>
    <t>24779</t>
  </si>
  <si>
    <t>2026-07-06</t>
  </si>
  <si>
    <t>8 X 8 X 3/8 SQ TUBE</t>
  </si>
  <si>
    <t>70mm HSS rotary blade. Listings seen: BAOSHISHAN 3-pk $35.99 ($12.00 ea); CGOLDENWALL single $12.74 ea (for YJ-70A)</t>
  </si>
  <si>
    <t>TB8838</t>
  </si>
  <si>
    <t>25128</t>
  </si>
  <si>
    <t>4 X 4 X 1/4 ANGLE IRON</t>
  </si>
  <si>
    <t>AN4414</t>
  </si>
  <si>
    <t>3-PK</t>
  </si>
  <si>
    <t>25129</t>
  </si>
  <si>
    <t>2-1/2 X 2-1/2 X 1/4 ANGLE IRON</t>
  </si>
  <si>
    <t>AN21221214</t>
  </si>
  <si>
    <t>1-1/2 X 1-1/2 X 1/8 ANGLE IRON</t>
  </si>
  <si>
    <t>AN11211218</t>
  </si>
  <si>
    <t>CON-055</t>
  </si>
  <si>
    <t>Bio Seal Clear Silicone 100% RTV</t>
  </si>
  <si>
    <t>Stone/Dekton Fab</t>
  </si>
  <si>
    <t>Tools For The Trade</t>
  </si>
  <si>
    <t>each</t>
  </si>
  <si>
    <t>2026-04-06</t>
  </si>
  <si>
    <t>B · BUYING TOO OFTEN — 5 or more separate orders</t>
  </si>
  <si>
    <t>1-1/2 X 1-1/2 X 1/4 ANGLE IRON</t>
  </si>
  <si>
    <t>AN11211214</t>
  </si>
  <si>
    <t>CON-026</t>
  </si>
  <si>
    <t>1-1/2 X 1-1/2 HR SQ SOLID</t>
  </si>
  <si>
    <t>Multi-Purpose Tape Green - 2 in</t>
  </si>
  <si>
    <t>SQH112</t>
  </si>
  <si>
    <t>2026-04-20</t>
  </si>
  <si>
    <t>25130</t>
  </si>
  <si>
    <t>Every reorder is someone stopping work to notice, search and order. The fix is a bigger min/max, not a cheaper price.</t>
  </si>
  <si>
    <t>2 X 1 X 16GA REC TUBE</t>
  </si>
  <si>
    <t>TB21060</t>
  </si>
  <si>
    <t>CON-007</t>
  </si>
  <si>
    <t>Venom 3-Step Polishing Pad (Snowflake)</t>
  </si>
  <si>
    <t>1 X 1 X 16GA SQ TUBE</t>
  </si>
  <si>
    <t>Qty per order</t>
  </si>
  <si>
    <t>TB11060</t>
  </si>
  <si>
    <t>2024-11-04</t>
  </si>
  <si>
    <t>Total qty</t>
  </si>
  <si>
    <t>Spend</t>
  </si>
  <si>
    <t>First</t>
  </si>
  <si>
    <t>Last</t>
  </si>
  <si>
    <t>Why so often?</t>
  </si>
  <si>
    <t>CON-046</t>
  </si>
  <si>
    <t>Komelon SS Tape Measure - 16 ft</t>
  </si>
  <si>
    <t>Gray Zinc Epoxy Primer</t>
  </si>
  <si>
    <t>2026-05-20</t>
  </si>
  <si>
    <t>CON-023</t>
  </si>
  <si>
    <t>Razor Blades - 100ct</t>
  </si>
  <si>
    <t>2026-01-21</t>
  </si>
  <si>
    <t>2023-12-08</t>
  </si>
  <si>
    <t>2025-08-11</t>
  </si>
  <si>
    <t>CON-008</t>
  </si>
  <si>
    <t>25131</t>
  </si>
  <si>
    <t>Venom 3-Step Premium Pad - Step 1</t>
  </si>
  <si>
    <t>2025-08-05</t>
  </si>
  <si>
    <t>Wear part for the electric rotary cutter at the cut table. 8 blades bought Dec 2025-May 2026. ** VERIFY MACHINE + BLADE FIT: listings name three different machines - the cutter on hand is an MXBAOHENG, blades bought are BAOSHISHAN and CGOLDENWALL (the latter specifies a YJ-70A). These are likely all 70mm rebadges of the same design, but confirm the blade diameter and arbor against the actual machine, and check whether the cushion room runs more than one cutter. ** Pricing is effectively identical across listings ($12.00-12.74/blade). ** SECOND BLADE SIZE FOUND: a 100mm / 4" BEAMNOVA blade was also bought ($11.84) - that is NOT 70mm. Either there are two rotary cutters on the floor with different blade sizes, or one of these blades does not fit. Resolve when checking the machine. **</t>
  </si>
  <si>
    <t>25597</t>
  </si>
  <si>
    <t>3/4 X 14GA RD TUBE</t>
  </si>
  <si>
    <t>CON-017</t>
  </si>
  <si>
    <t>TBR34083</t>
  </si>
  <si>
    <t>DekCut Dekton/Ultracompact Blade - 16 in</t>
  </si>
  <si>
    <t>2023-10-24</t>
  </si>
  <si>
    <t>2023-12-14</t>
  </si>
  <si>
    <t>2026-06-03</t>
  </si>
  <si>
    <t>25599</t>
  </si>
  <si>
    <t>Acetone 100% Virgin - 5 Gal</t>
  </si>
  <si>
    <t>Shop/Facility</t>
  </si>
  <si>
    <t>WASHED WHITE KNITS (RAGS)</t>
  </si>
  <si>
    <t>RAGWWK</t>
  </si>
  <si>
    <t>2024-09-16</t>
  </si>
  <si>
    <t>CON-063</t>
  </si>
  <si>
    <t>Fabric cleaner, multi-purpose, non-PFAS, 16 fl oz</t>
  </si>
  <si>
    <t>25858</t>
  </si>
  <si>
    <t>1/2 X 4 HR FLAT BAR</t>
  </si>
  <si>
    <t>FH124</t>
  </si>
  <si>
    <t>SEW-002</t>
  </si>
  <si>
    <t>2024-08-28</t>
  </si>
  <si>
    <t>Facility/Janitorial</t>
  </si>
  <si>
    <t>25859</t>
  </si>
  <si>
    <t>EA</t>
  </si>
  <si>
    <t>Just Foam Inc</t>
  </si>
  <si>
    <t>Pillow Insert 14x29 (Angel Hair)</t>
  </si>
  <si>
    <t>2026-04-29</t>
  </si>
  <si>
    <t>2025-01-19</t>
  </si>
  <si>
    <t>2025-08-14</t>
  </si>
  <si>
    <t>CON-057</t>
  </si>
  <si>
    <t>Masking tape, contractor grade, 1" x 60.1 yd (6 rolls)</t>
  </si>
  <si>
    <t>FILLING</t>
  </si>
  <si>
    <t>6-PK</t>
  </si>
  <si>
    <t>Spindrift Sparkling Water, 4 Flavor Variety Pack, Made with Real Squee</t>
  </si>
  <si>
    <t>Fabric guard - water repellent &amp; stain shield spray for outdoor upholstery, 1 gallon</t>
  </si>
  <si>
    <t>2025-09-23</t>
  </si>
  <si>
    <t>2026-04-02</t>
  </si>
  <si>
    <t>26213</t>
  </si>
  <si>
    <t>CON-012</t>
  </si>
  <si>
    <t>2 X 2 X 1/8 ALUM SQ TUBE</t>
  </si>
  <si>
    <t>Vacuum Brazed Cup Wheel - 4 in (Medium)</t>
  </si>
  <si>
    <t>TBL2218</t>
  </si>
  <si>
    <t>Black Texture TGIC Polyester</t>
  </si>
  <si>
    <t>FABRIC GUARD</t>
  </si>
  <si>
    <t>2026-02-25</t>
  </si>
  <si>
    <t>2024-01-11</t>
  </si>
  <si>
    <t>2025-01-06</t>
  </si>
  <si>
    <t>2 X 1 X 1/8 ALUM REC TUBE</t>
  </si>
  <si>
    <t>TBL2118</t>
  </si>
  <si>
    <t>CON-005</t>
  </si>
  <si>
    <t>GINEE 10mm Rock Climbing Ropes 35FT Static Outdoor Safety Rope with Ca</t>
  </si>
  <si>
    <t>2025-09-29</t>
  </si>
  <si>
    <t>2026-07-20</t>
  </si>
  <si>
    <t>CON-067</t>
  </si>
  <si>
    <t>Color coding dot stickers, 3/4", 10 colors (10 rolls / 4,500 pcs)</t>
  </si>
  <si>
    <t>Office/Admin</t>
  </si>
  <si>
    <t>10-ROLL</t>
  </si>
  <si>
    <t>26302</t>
  </si>
  <si>
    <t>303 Products Marine Fabric Guard, 1 gal</t>
  </si>
  <si>
    <t>2023-09-28</t>
  </si>
  <si>
    <t>3 X 2 X 16GA REC TUBE</t>
  </si>
  <si>
    <t>2025-01-28</t>
  </si>
  <si>
    <t>TB32060</t>
  </si>
  <si>
    <t>Oil Rub Bronze M/C TGIC Polyester</t>
  </si>
  <si>
    <t>CON-054</t>
  </si>
  <si>
    <t>Nelson Wood Shims - 120pc</t>
  </si>
  <si>
    <t>GAL</t>
  </si>
  <si>
    <t>4 X 2 X 16GA REC TUBE</t>
  </si>
  <si>
    <t>TB42060</t>
  </si>
  <si>
    <t>Loose Fiber (fiberfill)</t>
  </si>
  <si>
    <t>CON-051</t>
  </si>
  <si>
    <t>Desmond #2c Cutter</t>
  </si>
  <si>
    <t>2025-02-04</t>
  </si>
  <si>
    <t>2025-07-24</t>
  </si>
  <si>
    <t>2026-06-08</t>
  </si>
  <si>
    <t>Smart Surface 8727 Heavy Duty Self Adhesive Furniture Felt Pads 1-Inch</t>
  </si>
  <si>
    <t>26482</t>
  </si>
  <si>
    <t>3 X 1 X 11GA REC TUBE</t>
  </si>
  <si>
    <t>TB31120</t>
  </si>
  <si>
    <t>CON-066</t>
  </si>
  <si>
    <t>2026-07-09</t>
  </si>
  <si>
    <t xml:space="preserve">Label rolls, 1-1/8" x 3-1/2" address/shipping/barcode, WHITE (6 rolls </t>
  </si>
  <si>
    <t>6-ROLL</t>
  </si>
  <si>
    <t>2026-03-10</t>
  </si>
  <si>
    <t>CON-016</t>
  </si>
  <si>
    <t>Vacuum Brazed / Electroplated Core Bit - 1-3/8 in</t>
  </si>
  <si>
    <t>CON-014</t>
  </si>
  <si>
    <t>1/4 X 1 HR FLAT BAR</t>
  </si>
  <si>
    <t>Zenesis Nano Blade - 5 in</t>
  </si>
  <si>
    <t>FH141</t>
  </si>
  <si>
    <t>2025-12-08</t>
  </si>
  <si>
    <t>Cardinal Components</t>
  </si>
  <si>
    <t>Sunbrella-recommended repellent - restores factory water/stain finish after cleaning or sewing. Applied to finished cushions before ship.</t>
  </si>
  <si>
    <t>Rivet Nut 5/16-18 Knurl Flat Head Open-End</t>
  </si>
  <si>
    <t>CON-062</t>
  </si>
  <si>
    <t>Jobsite marker, fine 1 mm tip, black (36-pack)</t>
  </si>
  <si>
    <t>2024-11-07</t>
  </si>
  <si>
    <t>2026-08-05</t>
  </si>
  <si>
    <t>36-PK</t>
  </si>
  <si>
    <t>26559</t>
  </si>
  <si>
    <t>2026-04-27</t>
  </si>
  <si>
    <t>UPS Freight (Pre-Pay &amp; Add)</t>
  </si>
  <si>
    <t>SEW-003</t>
  </si>
  <si>
    <t>CON-045</t>
  </si>
  <si>
    <t>Hot Stuff Thin CA Glue - 2 oz Red</t>
  </si>
  <si>
    <t>Velcro Sandpaper 4 in 80 grit (50ct)</t>
  </si>
  <si>
    <t>2026-05-06</t>
  </si>
  <si>
    <t>26560</t>
  </si>
  <si>
    <t>CON-064</t>
  </si>
  <si>
    <t>Pillow Insert 24x24 (Angel Hair)</t>
  </si>
  <si>
    <t>Tie wire, 16 gauge black annealed steel, 360 ft coil</t>
  </si>
  <si>
    <t>COIL</t>
  </si>
  <si>
    <t>FABRIC CLEANER</t>
  </si>
  <si>
    <t>CD99054111</t>
  </si>
  <si>
    <t>The Hillman Group 560262 6-20X1/2 PPH Drill Screw , zinc</t>
  </si>
  <si>
    <t>Wild Rice Texture TGIC Polyester</t>
  </si>
  <si>
    <t>ET1301-750</t>
  </si>
  <si>
    <t>CON-044</t>
  </si>
  <si>
    <t>NCF Glue Accelerator - 6 oz</t>
  </si>
  <si>
    <t>2025-12-01</t>
  </si>
  <si>
    <t>2026-06-22</t>
  </si>
  <si>
    <t>EE0710-750</t>
  </si>
  <si>
    <t>FAS-002</t>
  </si>
  <si>
    <t>Sunbrella Clean multi-purpose fabric cleaner, 16 oz</t>
  </si>
  <si>
    <t>Self-drilling screw, #6-20 x 1/2", pan head Phillips, zinc (100-pack)</t>
  </si>
  <si>
    <t>100-PK</t>
  </si>
  <si>
    <t>26961</t>
  </si>
  <si>
    <t>Deck Clay Texture S/G TGIC Polyester</t>
  </si>
  <si>
    <t>26GA R-PANEL GALVALUM</t>
  </si>
  <si>
    <t>RPAN26GA</t>
  </si>
  <si>
    <t>FAS-005</t>
  </si>
  <si>
    <t>2025-06-30</t>
  </si>
  <si>
    <t>Thumb screw, 5/16-18 x 1", stainless, black aluminum knob (4-pack)</t>
  </si>
  <si>
    <t>Cushion</t>
  </si>
  <si>
    <t>4-PK</t>
  </si>
  <si>
    <t>Superior Glue GOLD Knife-Grade - 1.25 Gal</t>
  </si>
  <si>
    <t>2026-04-08</t>
  </si>
  <si>
    <t>JAN-002</t>
  </si>
  <si>
    <t>Bath tissue, 2-ply jumbo dispenser roll, 9" x 1000 ft (case of 12)</t>
  </si>
  <si>
    <t>Plastic Sheeting .8 MIL</t>
  </si>
  <si>
    <t>12-PK</t>
  </si>
  <si>
    <t>2026-07-29</t>
  </si>
  <si>
    <t>2025-01-24</t>
  </si>
  <si>
    <t>2025-07-22</t>
  </si>
  <si>
    <t>Pillow Insert 19x19 (Angel Hair)</t>
  </si>
  <si>
    <t>JAN-001</t>
  </si>
  <si>
    <t>Hand towel roll, white, 100% recycled - case of 6 rolls x 800 ft</t>
  </si>
  <si>
    <t>CASE</t>
  </si>
  <si>
    <t>2025-03-13</t>
  </si>
  <si>
    <t>2026-05-28</t>
  </si>
  <si>
    <t>Allied Gases &amp; Welding Supply</t>
  </si>
  <si>
    <t>DELIVERY CHARGE</t>
  </si>
  <si>
    <t>JAN-003</t>
  </si>
  <si>
    <t>Microfiber cleaning cloths, 16 x 12", lint-free (50-pack)</t>
  </si>
  <si>
    <t>CD99058289</t>
  </si>
  <si>
    <t>2025-03-24</t>
  </si>
  <si>
    <t>50-PK</t>
  </si>
  <si>
    <t>2025-05-19</t>
  </si>
  <si>
    <t>Companion to CON-061 fabric guard - clean first, then re-treat. Safe on fabric and vinyl. 5 bottles across 3 orders Nov 2025-Apr 2026.</t>
  </si>
  <si>
    <t>ET26-49540-750</t>
  </si>
  <si>
    <t>Scotch Contractor Grade Masking Tape, 1 Inch Wide (0.94 in. x 60.1 Yds</t>
  </si>
  <si>
    <t>2025-09-25</t>
  </si>
  <si>
    <t>JAN-011</t>
  </si>
  <si>
    <t>Disinfectant cleaner with bleach, ready-to-use spray, 32 oz</t>
  </si>
  <si>
    <t>PLX2267-09-750</t>
  </si>
  <si>
    <t>Double Sided Fabric Tape Heavy Duty for Hem, Fashion Dress, Cloth, Cur</t>
  </si>
  <si>
    <t>2025-12-03</t>
  </si>
  <si>
    <t>SEW-004</t>
  </si>
  <si>
    <t>2026-03-24</t>
  </si>
  <si>
    <t>JAN-010</t>
  </si>
  <si>
    <t>2026-06-19</t>
  </si>
  <si>
    <t>Disinfecting wipes, multi-surface (bundle)</t>
  </si>
  <si>
    <t>BUNDLE</t>
  </si>
  <si>
    <t>EROSHAK Pneumatic Rivet Nut Gun (10-24 &amp; 1/4 &amp; 5/16 &amp; 3/8) Air Rivet N</t>
  </si>
  <si>
    <t>2025-09-17</t>
  </si>
  <si>
    <t>Lint rollers, 6 handles + 6 refills (1,200 sheets total)</t>
  </si>
  <si>
    <t>JAN-005</t>
  </si>
  <si>
    <t>All purpose cleaner &amp; degreaser concentrate, lavender, 1 gallon</t>
  </si>
  <si>
    <t>LINT ROLLERS</t>
  </si>
  <si>
    <t>ET0382-750</t>
  </si>
  <si>
    <t>JAN-012</t>
  </si>
  <si>
    <t>All purpose cleaner concentrate, 64 fl oz</t>
  </si>
  <si>
    <t>CD99061072</t>
  </si>
  <si>
    <t>Fanuc Gray touch-up tub (ET03-43716)</t>
  </si>
  <si>
    <t>734167</t>
  </si>
  <si>
    <t>MET-045</t>
  </si>
  <si>
    <t>Steel Tube Rect 3/4 x 1-1/2 x 16 ga</t>
  </si>
  <si>
    <t>ft</t>
  </si>
  <si>
    <t>Mage value set lint roller, 6 rollers + 6 refills</t>
  </si>
  <si>
    <t>2025-02-13</t>
  </si>
  <si>
    <t>Deck Clay touch-up tub (ET-0382)</t>
  </si>
  <si>
    <t>734168</t>
  </si>
  <si>
    <t>MET-009</t>
  </si>
  <si>
    <t>Black Texture touch-up tub (PLX2267-09)</t>
  </si>
  <si>
    <t>SET</t>
  </si>
  <si>
    <t>734169</t>
  </si>
  <si>
    <t>MET-018</t>
  </si>
  <si>
    <t>CD99063791</t>
  </si>
  <si>
    <t>2023-12-04</t>
  </si>
  <si>
    <t>MET-006</t>
  </si>
  <si>
    <t>CD99066124</t>
  </si>
  <si>
    <t>MET-008</t>
  </si>
  <si>
    <t>CD99066126</t>
  </si>
  <si>
    <t>MET-024</t>
  </si>
  <si>
    <t>2023-12-06</t>
  </si>
  <si>
    <t>MET-017</t>
  </si>
  <si>
    <t>2023-12-07</t>
  </si>
  <si>
    <t>CD99070624</t>
  </si>
  <si>
    <t>OFF-001</t>
  </si>
  <si>
    <t>Copy paper, 20 lb, 8.5 x 11, 92 bright - case (8 or 10 reams)</t>
  </si>
  <si>
    <t>Pre-ship finishing - rolls thread, lint and dust off finished cushions before wrapping. Sunbrella picks up everything. Part of the cushion pre-ship set with CON-061 fabric guard and CON-063 fabric cleaner. NOTE: refills are the recurring part - if a refill-only listing turns up it is the better reorder line.</t>
  </si>
  <si>
    <t>PKG-001</t>
  </si>
  <si>
    <t>Stretch wrap, 5" x 1000 ft, industrial, with handles (4-pack)</t>
  </si>
  <si>
    <t>Delivery</t>
  </si>
  <si>
    <t>SEW-005</t>
  </si>
  <si>
    <t>PPE-007</t>
  </si>
  <si>
    <t>Work gloves, PU-coated palm, touchscreen, gray, size LARGE (12-pair pa</t>
  </si>
  <si>
    <t>CD99074538</t>
  </si>
  <si>
    <t>12-PR</t>
  </si>
  <si>
    <t>12273160</t>
  </si>
  <si>
    <t>SEWING</t>
  </si>
  <si>
    <t>6061-T6 Alum Sq Tube 3 sq x 1/8</t>
  </si>
  <si>
    <t>61ST30012</t>
  </si>
  <si>
    <t>PPE-002</t>
  </si>
  <si>
    <t>Half mask respirator, P100, reusable, size M/L</t>
  </si>
  <si>
    <t>6063-T52 Alum Tube Rect 3/4 x 1-1/2 x 1/8</t>
  </si>
  <si>
    <t>63RT07515012</t>
  </si>
  <si>
    <t>CUSHION MASKING TAPE 1"</t>
  </si>
  <si>
    <t>PPE-001</t>
  </si>
  <si>
    <t>CD99077369</t>
  </si>
  <si>
    <t>Particulate respirator N95, valved, disposable (80-pack)</t>
  </si>
  <si>
    <t>80-PK</t>
  </si>
  <si>
    <t>2026-06-16</t>
  </si>
  <si>
    <t>12312345</t>
  </si>
  <si>
    <t>PRD-003</t>
  </si>
  <si>
    <t>Propane regulator and hose, QCC1 low pressure, 2 ft</t>
  </si>
  <si>
    <t>Product Components</t>
  </si>
  <si>
    <t>2026-01-06</t>
  </si>
  <si>
    <t>Scotch Contractor Grade, 0.94 in x 60.1 yds. Sold as 6-pk $14.99 and 20-pk $17.17 (20-PK IS FAR CHEAPER PER ROLL)</t>
  </si>
  <si>
    <t>PRD-001</t>
  </si>
  <si>
    <t>Static climbing rope, 10 mm x 35 ft, with carabiner</t>
  </si>
  <si>
    <t>6061-T6 Alum Rect Tube 2 x 4 x 1/8</t>
  </si>
  <si>
    <t>61RT20040012</t>
  </si>
  <si>
    <t>PRD-002</t>
  </si>
  <si>
    <t>Swivel plate, 10.25" square, ball bearing</t>
  </si>
  <si>
    <t>6061-T6 Alum Rect Tube 2 x 3 x 1/8</t>
  </si>
  <si>
    <t>61RT20030012</t>
  </si>
  <si>
    <t>PRD-004</t>
  </si>
  <si>
    <t>Felt pads, 1" round, oatmeal, self-adhesive heavy duty (160-pc)</t>
  </si>
  <si>
    <t>6061-T6 Alum Sq Tube 1-1/2 sq x 1/8</t>
  </si>
  <si>
    <t>160-PK</t>
  </si>
  <si>
    <t>61ST15012</t>
  </si>
  <si>
    <t>PRD-005</t>
  </si>
  <si>
    <t>Flex gas line connector kit, 1/2" OD x 3/8" ID, 48", non-whistle</t>
  </si>
  <si>
    <t>12316220</t>
  </si>
  <si>
    <t>6061-T6511 Alum Ext Flat 1/4 x 4</t>
  </si>
  <si>
    <t>61025400</t>
  </si>
  <si>
    <t>PRD-006</t>
  </si>
  <si>
    <t>Bullet hinge, weld-on, 4" aluminum, stainless bushing &amp; pin, Zerk grea</t>
  </si>
  <si>
    <t>20-PK</t>
  </si>
  <si>
    <t>5052-H32 Alum Sheet .250</t>
  </si>
  <si>
    <t>52P0250408</t>
  </si>
  <si>
    <t>802245359</t>
  </si>
  <si>
    <t>FREIGHT</t>
  </si>
  <si>
    <t>PRD-013</t>
  </si>
  <si>
    <t>Double roller cabinet catch, black nickel (4-pack)</t>
  </si>
  <si>
    <t>USE: Cushion department (Christian, Aug 2026) - not powder coat masking. 3-day clean removal, no residue. Steady burn: 48 rolls across 5 orders Sep 2025-Jul 2026 (~5 rolls/mo) - min 0 / max 1 pack is about 5 weeks of stock. PRICING: 20-roll pack $17.17 ($0.86/roll) vs 6-roll pack $14.99 ($2.50/roll) - buy the 20-pack.</t>
  </si>
  <si>
    <t>CD99078502</t>
  </si>
  <si>
    <t>PRD-017</t>
  </si>
  <si>
    <t>Double roller cabinet catch, nickel (8-pack)</t>
  </si>
  <si>
    <t>8-PK</t>
  </si>
  <si>
    <t>PWD-004</t>
  </si>
  <si>
    <t>SEW-006</t>
  </si>
  <si>
    <t>CD99079799</t>
  </si>
  <si>
    <t>PWD-002</t>
  </si>
  <si>
    <t>CD99081311</t>
  </si>
  <si>
    <t>734167-01</t>
  </si>
  <si>
    <t>CD99082781</t>
  </si>
  <si>
    <t>PWD-003</t>
  </si>
  <si>
    <t>Oil Rub Bronze touch-up tub (ET26-49540)</t>
  </si>
  <si>
    <t>ICM8-122708-01</t>
  </si>
  <si>
    <t>CD99082782</t>
  </si>
  <si>
    <t>COLOR DOTS</t>
  </si>
  <si>
    <t>734169-01</t>
  </si>
  <si>
    <t>PWD-001</t>
  </si>
  <si>
    <t>CD99085783</t>
  </si>
  <si>
    <t>19846</t>
  </si>
  <si>
    <t>PWD-006</t>
  </si>
  <si>
    <t>20.0019Pv</t>
  </si>
  <si>
    <t>Labelon 3/4" colored dot stickers, 10-color, 10 rolls</t>
  </si>
  <si>
    <t>PWD-007</t>
  </si>
  <si>
    <t>Lite Beige Tex. S/D TGIC Polyester</t>
  </si>
  <si>
    <t>PWD-005</t>
  </si>
  <si>
    <t>Acetone 100% Virgin - 1 Gal</t>
  </si>
  <si>
    <t>10.0300A</t>
  </si>
  <si>
    <t>SEW-022</t>
  </si>
  <si>
    <t>60.1117R</t>
  </si>
  <si>
    <t>20.6336</t>
  </si>
  <si>
    <t>SEW-023</t>
  </si>
  <si>
    <t>40.0001</t>
  </si>
  <si>
    <t>SEW-040</t>
  </si>
  <si>
    <t>Tailor's chalk &amp; fabric marking set, 20 pc (4 chalk triangles, 12 wate</t>
  </si>
  <si>
    <t>20.2586</t>
  </si>
  <si>
    <t>2026-03-12</t>
  </si>
  <si>
    <t>USE: one color per cushion-room worker - marks WHO WORKED ON EACH PIECE (Christian, Aug 2026). This is a traceability control, not general labeling - keep the color-to-person assignment documented so the marks stay meaningful. 10-color set; in ongoing use across 2 orders Jan-Jul 2026.</t>
  </si>
  <si>
    <t>60.0322</t>
  </si>
  <si>
    <t>SEW-024</t>
  </si>
  <si>
    <t>XSPEED Rigid Backer Pad - 4 in Blue</t>
  </si>
  <si>
    <t>40.1404B</t>
  </si>
  <si>
    <t>SEW-009</t>
  </si>
  <si>
    <t>2" Black Velcro Hook</t>
  </si>
  <si>
    <t>roll (50 YDS)</t>
  </si>
  <si>
    <t>Desmond #2c Dresser</t>
  </si>
  <si>
    <t>2025-08-12</t>
  </si>
  <si>
    <t>70.0301</t>
  </si>
  <si>
    <t>SEW-007</t>
  </si>
  <si>
    <t>SEW-035</t>
  </si>
  <si>
    <t>Double-sided fabric tape, heavy duty, 1/2" - removable, residue-free</t>
  </si>
  <si>
    <t>ROLL</t>
  </si>
  <si>
    <t>Sewing machine oil, JUKI Defrix No. 2, 700 ml</t>
  </si>
  <si>
    <t>20.0115</t>
  </si>
  <si>
    <t>SEWING MACHINE OIL</t>
  </si>
  <si>
    <t>SEW-018</t>
  </si>
  <si>
    <t>Velcro Sandpaper 4 in 50ct (80/120 grit)</t>
  </si>
  <si>
    <t>Black Polyester Thread</t>
  </si>
  <si>
    <t>50.0018</t>
  </si>
  <si>
    <t>roll (1 LB)</t>
  </si>
  <si>
    <t>2025-08-06</t>
  </si>
  <si>
    <t>CD99101519</t>
  </si>
  <si>
    <t>#5 White Zipper</t>
  </si>
  <si>
    <t>roll (250 YDS)</t>
  </si>
  <si>
    <t>2025-06-06</t>
  </si>
  <si>
    <t>JUKI Defrix Oil No. 2, 700ml</t>
  </si>
  <si>
    <t>#5 Black Zipper</t>
  </si>
  <si>
    <t>C · BOUGHT ONCE, NEVER AGAIN — over $100, over 6 months ago</t>
  </si>
  <si>
    <t>One-off project, or something we needed once and forgot? Anything still used belongs in the catalog with a reorder point.</t>
  </si>
  <si>
    <t>SEW-010</t>
  </si>
  <si>
    <t>2" Black Velcro Loop</t>
  </si>
  <si>
    <t>Days ago</t>
  </si>
  <si>
    <t>Still used?</t>
  </si>
  <si>
    <t>20130</t>
  </si>
  <si>
    <t>SEW-021</t>
  </si>
  <si>
    <t>80.5086</t>
  </si>
  <si>
    <t>bag</t>
  </si>
  <si>
    <t>2023-10-25</t>
  </si>
  <si>
    <t>#5 Black Zipper Heads</t>
  </si>
  <si>
    <t>bag (1,000)</t>
  </si>
  <si>
    <t>10.0301</t>
  </si>
  <si>
    <t>2025-05-16</t>
  </si>
  <si>
    <t>SEW-036</t>
  </si>
  <si>
    <t>Industrial sewing machine needles, 62x57 / DVx57, size 110/18 (100-pac</t>
  </si>
  <si>
    <t>Seller: GreyFit USA. MANUFACTURER-SPECIFIED oil for JUKI industrial heads - do not substitute generic machine oil. Pairs with SEW-036 needles as the sewing-room upkeep set. ~2 bottles/yr.</t>
  </si>
  <si>
    <t>SEW-012</t>
  </si>
  <si>
    <t>48" Clear Poly Tubbing 2.0 mil</t>
  </si>
  <si>
    <t>roll (900 FT)</t>
  </si>
  <si>
    <t>20954</t>
  </si>
  <si>
    <t>SEW-027</t>
  </si>
  <si>
    <t>WELDING CURTAIN W/ FRAME 6X8 ORANGE</t>
  </si>
  <si>
    <t>SEW-008</t>
  </si>
  <si>
    <t>roll (108"x1,200 FT)</t>
  </si>
  <si>
    <t>2025-03-27</t>
  </si>
  <si>
    <t>2023-11-20</t>
  </si>
  <si>
    <t>SEW-019</t>
  </si>
  <si>
    <t>Bond Seal Glue</t>
  </si>
  <si>
    <t>60.1117Acc</t>
  </si>
  <si>
    <t>box (12 cans)</t>
  </si>
  <si>
    <t>2025-05-06</t>
  </si>
  <si>
    <t>AT&amp;T SynJ 4-Line Corded/Cordless SMB Phone System SB67138 w/ 3 Cordless Han</t>
  </si>
  <si>
    <t>STRETCH WRAP</t>
  </si>
  <si>
    <t>2025-09-04</t>
  </si>
  <si>
    <t>SEW-011</t>
  </si>
  <si>
    <t>2" Tape</t>
  </si>
  <si>
    <t>box (36)</t>
  </si>
  <si>
    <t>2025-06-18</t>
  </si>
  <si>
    <t>2024-05-31</t>
  </si>
  <si>
    <t>#5 White Zipper Heads</t>
  </si>
  <si>
    <t>2023-11-07</t>
  </si>
  <si>
    <t>2023-11-01</t>
  </si>
  <si>
    <t>JARLINK 5" stretch film, 650% stretch, 4-pack</t>
  </si>
  <si>
    <t>164274.01</t>
  </si>
  <si>
    <t>90-1005</t>
  </si>
  <si>
    <t>Steel Tube Sq 2 x 2 x 16 ga</t>
  </si>
  <si>
    <t>SEW-015</t>
  </si>
  <si>
    <t>54" x 3/4oz Dacron</t>
  </si>
  <si>
    <t>roll (30 YDS)</t>
  </si>
  <si>
    <t>164274.02</t>
  </si>
  <si>
    <t>UPSCO3</t>
  </si>
  <si>
    <t>2024-05-07</t>
  </si>
  <si>
    <t>SEW-039</t>
  </si>
  <si>
    <t>Fabric marking pens, 5-count (2 water-soluble, 2 air-erasable, 1 erase</t>
  </si>
  <si>
    <t>CD99114885</t>
  </si>
  <si>
    <t>5-CT</t>
  </si>
  <si>
    <t>2026-03-09</t>
  </si>
  <si>
    <t>Sunbrella Sunbr Furn Frequency Parchment Fabric by the Yard</t>
  </si>
  <si>
    <t>2025-11-24</t>
  </si>
  <si>
    <t>SEW-038</t>
  </si>
  <si>
    <t>2026-05-04</t>
  </si>
  <si>
    <t>13723065</t>
  </si>
  <si>
    <t>SQT20016</t>
  </si>
  <si>
    <t>Ticking 27"</t>
  </si>
  <si>
    <t>TLS-002</t>
  </si>
  <si>
    <t>Angle grinder, 4-1/2", AC/DC switch (2-pack)</t>
  </si>
  <si>
    <t>2-PK</t>
  </si>
  <si>
    <t>RT07515016</t>
  </si>
  <si>
    <t>Ticking 54"</t>
  </si>
  <si>
    <t>Steel Tube Sq 3 x 3 x 16 ga</t>
  </si>
  <si>
    <t>TLS-001</t>
  </si>
  <si>
    <t>SQT30016</t>
  </si>
  <si>
    <t>SMUG Home Office Computer Desk Chair - Ergonomic Mid-Back Mesh Swivel Rolli</t>
  </si>
  <si>
    <t>Pneumatic rivet nut gun (10-24, 1/4, 5/16, 3/8)</t>
  </si>
  <si>
    <t>2025-09-08</t>
  </si>
  <si>
    <t>Steel Tube Rect 1/2 x 1-1/2 x 16 ga</t>
  </si>
  <si>
    <t>RT05015016</t>
  </si>
  <si>
    <t>2024-01-30</t>
  </si>
  <si>
    <t>Seller: JarlinkDirect. USE: CUSHION department (Christian, Aug 2026) - NOT delivery/freight, despite the 'pallet wrap' product name. 20 rolls Oct 2025-Apr 2026 (~3 rolls/mo) - min 0 / max 1 pack is ~5 wks of stock with no buffer; revisit if cushion work is ever held up waiting on wrap.</t>
  </si>
  <si>
    <t>TLS-003</t>
  </si>
  <si>
    <t>Tape measure, magnetic, 25 ft x 1.83" (2-pack)</t>
  </si>
  <si>
    <t>HR Steel Sheet 11 Ga</t>
  </si>
  <si>
    <t>21849</t>
  </si>
  <si>
    <t>Tenax Baby Tiger - .25 LT</t>
  </si>
  <si>
    <t>2026-08-04</t>
  </si>
  <si>
    <t>10.0200bTIGER</t>
  </si>
  <si>
    <t>Steel Tube Sq 2 x 2 x .120</t>
  </si>
  <si>
    <t>WLD-003</t>
  </si>
  <si>
    <t>E70S-6 .035 X 33# WELDING WIRE SPOOL</t>
  </si>
  <si>
    <t>LB</t>
  </si>
  <si>
    <t>HR Steel Flat 3/16 x 3</t>
  </si>
  <si>
    <t>2025-02-11</t>
  </si>
  <si>
    <t>Alpha Apron - Yellow Long-Sleeve</t>
  </si>
  <si>
    <t>40.6006L</t>
  </si>
  <si>
    <t>Blue Seam Setter AERO-C</t>
  </si>
  <si>
    <t>WLD-004</t>
  </si>
  <si>
    <t>ARGON 75% CO2 25% 250</t>
  </si>
  <si>
    <t>2025-06-16</t>
  </si>
  <si>
    <t>CYL</t>
  </si>
  <si>
    <t xml:space="preserve">Akro-Mils 30235 AkroBins Plastic Storage Bins, Space-Saving Stackable Bins </t>
  </si>
  <si>
    <t>50.0018-80</t>
  </si>
  <si>
    <t>2025-10-10</t>
  </si>
  <si>
    <t>WLD-015</t>
  </si>
  <si>
    <t>OUTSIDE COVER LENS 4-3/4X3-1/4 5/PKG</t>
  </si>
  <si>
    <t>PKG</t>
  </si>
  <si>
    <t>2024-04-30</t>
  </si>
  <si>
    <t>2025-05-09</t>
  </si>
  <si>
    <t>DOUBLE SIDED FABRIC TAPE</t>
  </si>
  <si>
    <t>#5 Beaver Zipper</t>
  </si>
  <si>
    <t>2025-05-02</t>
  </si>
  <si>
    <t>WLD-016</t>
  </si>
  <si>
    <t>INSIDE COVER LENS 6X5-5/8 5/PKG</t>
  </si>
  <si>
    <t>Stanbroil 1/2" OD x 3/8" ID 24" Non-Whistle Flexible Flex Gas Line Connecto</t>
  </si>
  <si>
    <t>Midwest Hearth Fire Pit Gas Valve Kit - 1/2" NPT</t>
  </si>
  <si>
    <t>Galvalume Corrugated Sheet 24ga 26in wide</t>
  </si>
  <si>
    <t>YINTTIAN 0.5 in double-sided hem tape. TWO LISTINGS SEEN: $16.99/roll and $9.02/roll</t>
  </si>
  <si>
    <t>2025-03-03</t>
  </si>
  <si>
    <t>CD99123743</t>
  </si>
  <si>
    <t>2023-11-13</t>
  </si>
  <si>
    <t>VISE GRIP 11in C-CLAMP W/PADS</t>
  </si>
  <si>
    <t>2025-04-11</t>
  </si>
  <si>
    <t>2023-10-26</t>
  </si>
  <si>
    <t>INCLY 278PCS Pegboard Accessories Organizer Kit, Peg Board Hooks Assortment</t>
  </si>
  <si>
    <t>2025-11-04</t>
  </si>
  <si>
    <t>MILLER N-5818C NOZZLE</t>
  </si>
  <si>
    <t>2025-06-17</t>
  </si>
  <si>
    <t>22021</t>
  </si>
  <si>
    <t>Steel Tube Rect 1 x 2 x 16 ga</t>
  </si>
  <si>
    <t>Superior Glue GOLD Flowing - 1.25 Gal</t>
  </si>
  <si>
    <t>60.0322F</t>
  </si>
  <si>
    <t>2023-12-01</t>
  </si>
  <si>
    <t>Rexka 1/2 0.5 inch Flush Mount Black Plastic Body and Sheet Metal Hole Plug</t>
  </si>
  <si>
    <t>2025-12-11</t>
  </si>
  <si>
    <t>Seller: YINTTIAN. Used for basting/holding fabric before sewing. High burn - 21 rolls across 8 orders Feb-Jun 2026 (~6/mo). ** REVIEW - WHICH TAPE ACTUALLY WORKS: three brands bought, none settled. YINTTIAN 1/2" (two listings, $16.99/roll and $9.02/roll - 47% apart, VERIFY ROLL LENGTH before switching); shimsol double-sided hem tape $19.99 (Apr 2026); YONGJIN double-sided fabric tape, 2 rolls $15.98. Ask the cushion room which holds through handling and sewing without gumming the needle or leaving residue, then standardize on one and set real min/max. At ~6 rolls/month the price spread alone is worth roughly $570/yr. ** NOTE: Aleene's fray sealant was trialled May 2026 and dropped in favour of this tape - but they do DIFFERENT jobs (tape holds pieces together while sewing; sealant stops a raw cut edge unravelling). Confirm there are no raw edges - grommet holes, notches, webbing ends - now going unsealed.</t>
  </si>
  <si>
    <t>80.8943</t>
  </si>
  <si>
    <t xml:space="preserve">Akro-Mils 30230 AkroBins Plastic Storage Bins, Space-Saving Stackable Bins </t>
  </si>
  <si>
    <t>2025-01-15</t>
  </si>
  <si>
    <t>White Lining</t>
  </si>
  <si>
    <t>2025-07-25</t>
  </si>
  <si>
    <t>5</t>
  </si>
  <si>
    <t>2"</t>
  </si>
  <si>
    <t>Beaver Polyester Thread</t>
  </si>
  <si>
    <t>2025-05-13</t>
  </si>
  <si>
    <t>1" White Velcro Hook</t>
  </si>
  <si>
    <t>1" White Velcro Loop</t>
  </si>
  <si>
    <t>Industrial sewing machine needles, 62x57 / DVx57, size 110/18 (100-pack)</t>
  </si>
  <si>
    <t>Plastic Roll 2x12FTx200</t>
  </si>
  <si>
    <t>White Polyester Thread</t>
  </si>
  <si>
    <t>roll</t>
  </si>
  <si>
    <t>SEWING NEEDLES</t>
  </si>
  <si>
    <t>Makita B-69060 5/8" x 6" Multi-Purpose Bit, 1/4" Hex Shank</t>
  </si>
  <si>
    <t>2026-01-27</t>
  </si>
  <si>
    <t>Juki Defrix Oil No. 2 700ml</t>
  </si>
  <si>
    <t>2026-01-29</t>
  </si>
  <si>
    <t>24x24</t>
  </si>
  <si>
    <t>Groz-Beckert 62X57 DVX57, 110/18</t>
  </si>
  <si>
    <t>Silicone</t>
  </si>
  <si>
    <t xml:space="preserve">HP 972A PageWide Yellow Ink Cartridge for HP Printers | Works with Printer </t>
  </si>
  <si>
    <t>2025-10-06</t>
  </si>
  <si>
    <t>Cutex Sewing Supplies</t>
  </si>
  <si>
    <t>14x29</t>
  </si>
  <si>
    <t>Aoneky 10 mm Static Outdoor Rock Climbing Rope, Fire Escape Safety Rappelli</t>
  </si>
  <si>
    <t>2025-12-19</t>
  </si>
  <si>
    <t>7</t>
  </si>
  <si>
    <t>Plastic Roll (special)</t>
  </si>
  <si>
    <t>TWECO 23-62 NOZZLE 5/8</t>
  </si>
  <si>
    <t>CD99127944</t>
  </si>
  <si>
    <t>ET03-48091-750</t>
  </si>
  <si>
    <t>10</t>
  </si>
  <si>
    <t>62x57/DVx57 = CHAINSTITCH needle system. CONFIRMED a JUKI DNU-1541 WALKING-FOOT machine is also in the shop (walking presser feet bought Dec 2025 &amp; Jul 2026) - it runs 135x17/DPx17 needles, which have NO catalog row. Check whether those are bought off-Amazon. 300 needles bought Apr-Jun 2026. Buy direct from Cutex (also the Amazon seller). Size family: 90/14 B07DGYB686, 100/16 B07TDYLM2P, 140/22 B07DGXVN8G, 160/23 B07DGXVT6J, 180/24 B07DGXJ61Z - confirm whether only 110/18 is run.</t>
  </si>
  <si>
    <t>13945345</t>
  </si>
  <si>
    <t>10019300</t>
  </si>
  <si>
    <t>HR Steel Flat 3/16 x 2</t>
  </si>
  <si>
    <t>10019200</t>
  </si>
  <si>
    <t>HR Steel Flat 3/16 x 1-1/2</t>
  </si>
  <si>
    <t>10019150</t>
  </si>
  <si>
    <t>Steel Tube Sq 1-1/4 x 1-1/4 x 16 ga</t>
  </si>
  <si>
    <t>SQT12516</t>
  </si>
  <si>
    <t>Fabric marking pens, 5-count (2 water-soluble, 2 air-erasable, 1 eraser)</t>
  </si>
  <si>
    <t>1018 CR Steel Rd Bar 1/4 RD</t>
  </si>
  <si>
    <t>18R0250</t>
  </si>
  <si>
    <t>FABRIC MARKING PENS</t>
  </si>
  <si>
    <t>1018 CR Steel Rnd 3/16 Rd x 10 ft</t>
  </si>
  <si>
    <t>18R018810</t>
  </si>
  <si>
    <t>1018 CR Steel Rd Bar 5/16 Rd</t>
  </si>
  <si>
    <t>18R0313</t>
  </si>
  <si>
    <t>13963285</t>
  </si>
  <si>
    <t>Avenuebool fabric marker set, 5-ct</t>
  </si>
  <si>
    <t>RT10020016</t>
  </si>
  <si>
    <t>SQT20012</t>
  </si>
  <si>
    <t>HRP011510</t>
  </si>
  <si>
    <t>HR Steel Flat 1/4 x 2</t>
  </si>
  <si>
    <t>10025200</t>
  </si>
  <si>
    <t>HR Steel Round 3/4 Rd</t>
  </si>
  <si>
    <t>10R0750</t>
  </si>
  <si>
    <t>1018 CR Steel Rd Bar 3/16 Rd</t>
  </si>
  <si>
    <t>18R0188</t>
  </si>
  <si>
    <t>165721.01</t>
  </si>
  <si>
    <t>165721.02</t>
  </si>
  <si>
    <t>Disappearing-ink marking for cut lines, seam allowances and notches - ink clears with water or air so it never shows on the finished cushion. Do NOT substitute a permanent marker (CON-062 INKZALL is permanent, different job). ** REVIEW - Christian to confirm this was a good buy: do the marks actually clear fully on Sunbrella and marine vinyl, and do the pens dry out? If they underperform, source a known upholstery-grade marker. ** 4 packs across 2 orders Oct 2025-Mar 2026. Second marking method is SEW-040 (tailor's chalk + water-soluble pencils) - chalk works on dark fabric where ink does not. ** DISCUSS - MARKING METHOD NOT SETTLED across SEW-039/SEW-040. ** Min/max provisional.
** FULL MARKING INVENTORY BOUGHT (10 products, 3 catalogued + 7 folded in for the review): **
  - SEW-039 Avenuebool water-soluble / air-erasable INK pens, $8.99/5-ct
  - SEW-040 Jaloro tailor's CHALK triangles + water-soluble pencils, $14.99/20-pc
  - SEW-041 Avenuebool REFILLABLE chalk pencil + 4mm refills, $14.07/set
  - Dritz Tailor's Marking Set, assorted colors ($20.72, 2 sets, Nov 2025) [chalk]
  - 12-pc Tailors Pencil Set + fabric marker pens ($19.38, Jan 2026) [pencil]
  - Madam Sew HEAT ERASABLE fabric marking pens ($14.99) [heat-erasable]
  - Avenuebool chalk pencil REFILLS, 12 pc 4mm ($14.38) [refill for SEW-041]
  - 100-pc fabric marking REFILLS, white, heat erasable ($11.39) [refill, heat-erasable]
  - smrtcol 7-color HEAT ERASABLE markers + 42 refills, 0.5mm ($9.89) [heat-erasable]
  - Goktvai 12-pc fabric pencils, 4 colors, water-erasable ($7.59) [pencil]
Decide which method(s) actually worked, then keep those and retire the rest.</t>
  </si>
  <si>
    <t>15</t>
  </si>
  <si>
    <t>14065975</t>
  </si>
  <si>
    <t>25C24GLM8</t>
  </si>
  <si>
    <t>12</t>
  </si>
  <si>
    <t>Glue</t>
  </si>
  <si>
    <t>Tailor's chalk &amp; fabric marking set, 20 pc (4 chalk triangles, 12 water-soluble pencils, 4 sharpeners)</t>
  </si>
  <si>
    <t>box</t>
  </si>
  <si>
    <t>19</t>
  </si>
  <si>
    <t>19x19</t>
  </si>
  <si>
    <t>0000555808</t>
  </si>
  <si>
    <t>Jaloro 20-pc tailors chalk &amp; marker set</t>
  </si>
  <si>
    <t>AR CD25250C</t>
  </si>
  <si>
    <t>cyl</t>
  </si>
  <si>
    <t>HAZARDOUS MATERIAL CHARGE</t>
  </si>
  <si>
    <t>FEEHMC</t>
  </si>
  <si>
    <t>CYLINDER MAINT HIGH PRESSURE</t>
  </si>
  <si>
    <t>FEECYL.MAINT.HP</t>
  </si>
  <si>
    <t>0000556365</t>
  </si>
  <si>
    <t>REV6X8VF1ORA</t>
  </si>
  <si>
    <t>0000187069</t>
  </si>
  <si>
    <t>HIGH PRESSURE CYLINDER DEMURRAGE</t>
  </si>
  <si>
    <t>HP</t>
  </si>
  <si>
    <t>MONTHLY CYLINDER MAINT</t>
  </si>
  <si>
    <t>FEE</t>
  </si>
  <si>
    <t>Second fabric-marking method alongside SEW-039 (disappearing-ink pens). CHALK brushes off dry and shows on DARK fabric where ink does not - genuinely different capability, not a duplicate. ** DISCUSS - MARKING METHOD NOT SETTLED: both SEW-039 and SEW-040 were bought in Mar 2026, i.e. the cushion room was trialling several methods at once. Decide which method(s) stay standard for light vs dark fabric, then retire whatever loses. ** Min/max provisional.
** FULL MARKING INVENTORY BOUGHT (10 products, 3 catalogued + 7 folded in for the review): **
  - SEW-039 Avenuebool water-soluble / air-erasable INK pens, $8.99/5-ct
  - SEW-040 Jaloro tailor's CHALK triangles + water-soluble pencils, $14.99/20-pc
  - SEW-041 Avenuebool REFILLABLE chalk pencil + 4mm refills, $14.07/set
  - Dritz Tailor's Marking Set, assorted colors ($20.72, 2 sets, Nov 2025) [chalk]
  - 12-pc Tailors Pencil Set + fabric marker pens ($19.38, Jan 2026) [pencil]
  - Madam Sew HEAT ERASABLE fabric marking pens ($14.99) [heat-erasable]
  - Avenuebool chalk pencil REFILLS, 12 pc 4mm ($14.38) [refill for SEW-041]
  - 100-pc fabric marking REFILLS, white, heat erasable ($11.39) [refill, heat-erasable]
  - smrtcol 7-color HEAT ERASABLE markers + 42 refills, 0.5mm ($9.89) [heat-erasable]
  - Goktvai 12-pc fabric pencils, 4 colors, water-erasable ($7.59) [pencil]
Decide which method(s) actually worked, then keep those and retire the rest.</t>
  </si>
  <si>
    <t>SALES TAX</t>
  </si>
  <si>
    <t>TAX</t>
  </si>
  <si>
    <t>0000557001</t>
  </si>
  <si>
    <t>SOWE70S-6-03533</t>
  </si>
  <si>
    <t>23367</t>
  </si>
  <si>
    <t>SEW-013</t>
  </si>
  <si>
    <t>Refillable chalk pencil set, aluminum, with sharpener and 12 x 4mm refills</t>
  </si>
  <si>
    <t>Mixing Cups - 50pc</t>
  </si>
  <si>
    <t>40.5131</t>
  </si>
  <si>
    <t>0000557105</t>
  </si>
  <si>
    <t>Avenuebool refillable chalk pencil cartridge set, colorful</t>
  </si>
  <si>
    <t>AR CD25250</t>
  </si>
  <si>
    <t>D · MISSING DATA — what stops the system working</t>
  </si>
  <si>
    <t>MAGNET 45/30/60/90 DEGREE</t>
  </si>
  <si>
    <t>VALMS346C</t>
  </si>
  <si>
    <t>Assign an owner and a date to each. Nothing in Tab A goes live until On-Hand and lead times exist.</t>
  </si>
  <si>
    <t>Gap</t>
  </si>
  <si>
    <t>What it means</t>
  </si>
  <si>
    <t>Rows affected</t>
  </si>
  <si>
    <t>Who owns it</t>
  </si>
  <si>
    <t>By when</t>
  </si>
  <si>
    <t>Status</t>
  </si>
  <si>
    <t>No On-Hand count</t>
  </si>
  <si>
    <t>THE blocker. Below Reorder? compares On-Hand to Min. With no count it can never fire, so no item ever flags for reorder.</t>
  </si>
  <si>
    <t>0000557237</t>
  </si>
  <si>
    <t>MILLER SHOCK WASHER</t>
  </si>
  <si>
    <t>PRO169730</t>
  </si>
  <si>
    <t>0000557811</t>
  </si>
  <si>
    <t>No lead time</t>
  </si>
  <si>
    <t>Nobody knows how far ahead to order. A reorder point without lead time is a guess at timing.</t>
  </si>
  <si>
    <t>No department</t>
  </si>
  <si>
    <t>0000557899</t>
  </si>
  <si>
    <t>Cannot be sorted to an owner. The Start Here model is one named owner per department.</t>
  </si>
  <si>
    <t>TRU 3025 DRIVERS GLOVES MEDIUM</t>
  </si>
  <si>
    <t>TRU3025M</t>
  </si>
  <si>
    <t>pr</t>
  </si>
  <si>
    <t>No unit price</t>
  </si>
  <si>
    <t>Cannot value the order or spot a price increase.</t>
  </si>
  <si>
    <t>THIRD fabric-marking method, with SEW-039 (disappearing-ink pens) and SEW-040 (chalk triangles + water-soluble pencils). REFILLABLE - replace the 4mm lead, not the tool, so long-run cost is lower than disposable markers. Earliest of the three (Sep 2025). ** DISCUSS - MARKING METHOD NOT SETTLED across SEW-039/040/041: the cushion room has cycled through three methods in a year. Pick the standard for light vs dark fabric, retire the rest. ** Min/max provisional.
** FULL MARKING INVENTORY BOUGHT (10 products, 3 catalogued + 7 folded in for the review): **
  - SEW-039 Avenuebool water-soluble / air-erasable INK pens, $8.99/5-ct
  - SEW-040 Jaloro tailor's CHALK triangles + water-soluble pencils, $14.99/20-pc
  - SEW-041 Avenuebool REFILLABLE chalk pencil + 4mm refills, $14.07/set
  - Dritz Tailor's Marking Set, assorted colors ($20.72, 2 sets, Nov 2025) [chalk]
  - 12-pc Tailors Pencil Set + fabric marker pens ($19.38, Jan 2026) [pencil]
  - Madam Sew HEAT ERASABLE fabric marking pens ($14.99) [heat-erasable]
  - Avenuebool chalk pencil REFILLS, 12 pc 4mm ($14.38) [refill for SEW-041]
  - 100-pc fabric marking REFILLS, white, heat erasable ($11.39) [refill, heat-erasable]
  - smrtcol 7-color HEAT ERASABLE markers + 42 refills, 0.5mm ($9.89) [heat-erasable]
  - Goktvai 12-pc fabric pencils, 4 colors, water-erasable ($7.59) [pencil]
Decide which method(s) actually worked, then keep those and retire the rest.</t>
  </si>
  <si>
    <t>TRU 3025 DRIVERS GLOVES LARGE</t>
  </si>
  <si>
    <t>TRU3025L</t>
  </si>
  <si>
    <t>No Last Purchased date</t>
  </si>
  <si>
    <t>Cannot tell a live item from a dead one.</t>
  </si>
  <si>
    <t>0000557952</t>
  </si>
  <si>
    <t>Purchase History missing Line Total</t>
  </si>
  <si>
    <t>TWD11SP</t>
  </si>
  <si>
    <t>0 rows, all Tools For The Trade. Every one recoverable from Qty x Unit Cost — $0.00 currently invisible in spend totals.</t>
  </si>
  <si>
    <t>SEW-014</t>
  </si>
  <si>
    <t>0000558013</t>
  </si>
  <si>
    <t>Arizona Iron Supply — no orders since Dec 2023</t>
  </si>
  <si>
    <t>LINER 42-3035-15 .030-.035 15ft PRO-IWD</t>
  </si>
  <si>
    <t>PRO42303515</t>
  </si>
  <si>
    <t>Largest supplier ($84,629, 48% of non-Amazon spend) with a 32-month record gap. No price history to negotiate from.</t>
  </si>
  <si>
    <t>Just Foam / Diamond Vogel / Allied Gases / Industrial Metal all 12+ months stale</t>
  </si>
  <si>
    <t>Same cause. With AZ Iron this covers $164K of $175K total spend.</t>
  </si>
  <si>
    <t>CONTACT TIP .035 MILLER</t>
  </si>
  <si>
    <t>PRO000068</t>
  </si>
  <si>
    <t>7 Amazon lines show $0 unit price against $773.70 net</t>
  </si>
  <si>
    <t>At least two are provable duplicates sharing an Order ID — inflates those items' apparent spend.</t>
  </si>
  <si>
    <t>BEAVER ZIPPER #5</t>
  </si>
  <si>
    <t>MIG PLIERS 8-FUNCTION CARDED</t>
  </si>
  <si>
    <t>LWDWMPP2210C</t>
  </si>
  <si>
    <t>LINER .030-.035 15ft MDX</t>
  </si>
  <si>
    <t>MILLMD2A-15</t>
  </si>
  <si>
    <t>EG300 GROUND CLAMP 300A</t>
  </si>
  <si>
    <t>LENEG300</t>
  </si>
  <si>
    <t>E · NOT REAL ITEMS — charges recorded as products</t>
  </si>
  <si>
    <t>#5</t>
  </si>
  <si>
    <t>MIL271320</t>
  </si>
  <si>
    <t>pkg</t>
  </si>
  <si>
    <t>Freight, tax and cylinder fees are costs of an order, not things we stock. They should not be catalog items or get reorder points.</t>
  </si>
  <si>
    <t>ROLL (250 YDS)</t>
  </si>
  <si>
    <t>Charge line</t>
  </si>
  <si>
    <t>MIL271319</t>
  </si>
  <si>
    <t>Times</t>
  </si>
  <si>
    <t>Total</t>
  </si>
  <si>
    <t>What to do</t>
  </si>
  <si>
    <t>CD99144261</t>
  </si>
  <si>
    <t>Tag as a charge line; exclude from item counts and reorder logic</t>
  </si>
  <si>
    <t>Superior Components</t>
  </si>
  <si>
    <t>SHIPPING CHARGE (FedEx Priority Freight PPA)</t>
  </si>
  <si>
    <t>23740</t>
  </si>
  <si>
    <t>Fish Tape Blue Steel - 1/4 in x 200 ft</t>
  </si>
  <si>
    <t>30.0012</t>
  </si>
  <si>
    <t>Just Foam cushion/sewing consumable · dept &amp; operation TBD (Christian)</t>
  </si>
  <si>
    <t>20.0019Pv1</t>
  </si>
  <si>
    <t>MK Sharpening / Dressing Stick</t>
  </si>
  <si>
    <t>70.0152792</t>
  </si>
  <si>
    <t>#5 Beaver Zipper Heads</t>
  </si>
  <si>
    <t>TOTAL</t>
  </si>
  <si>
    <t>0000559444</t>
  </si>
  <si>
    <t>BEAVER ZIPPER HEADS #5</t>
  </si>
  <si>
    <t>BAG (1,000)</t>
  </si>
  <si>
    <t>0000188526</t>
  </si>
  <si>
    <t>32</t>
  </si>
  <si>
    <t>0000560214</t>
  </si>
  <si>
    <t>33</t>
  </si>
  <si>
    <t>SEW-016</t>
  </si>
  <si>
    <t>BLACK ZIPPER #5</t>
  </si>
  <si>
    <t>5/32" Welt Cord</t>
  </si>
  <si>
    <t>5/32"</t>
  </si>
  <si>
    <t>roll (1,250 YDS)</t>
  </si>
  <si>
    <t>34</t>
  </si>
  <si>
    <t>54"</t>
  </si>
  <si>
    <t>35</t>
  </si>
  <si>
    <t>0000561068</t>
  </si>
  <si>
    <t>PRO2362</t>
  </si>
  <si>
    <t>SEW-017</t>
  </si>
  <si>
    <t>52FN GAS DIFFUSER</t>
  </si>
  <si>
    <t>PRO52FN</t>
  </si>
  <si>
    <t>BLACK ZIPPER HEADS #5</t>
  </si>
  <si>
    <t>37</t>
  </si>
  <si>
    <t>thread</t>
  </si>
  <si>
    <t>39</t>
  </si>
  <si>
    <t>F · BOUGHT REPEATEDLY, NEVER CATALOGUED</t>
  </si>
  <si>
    <t>Two or more orders, no catalog row. These are the blind spots — they can run out and nothing flags it.</t>
  </si>
  <si>
    <t>40</t>
  </si>
  <si>
    <t>27"</t>
  </si>
  <si>
    <t>roll (100 YDS)</t>
  </si>
  <si>
    <t>0000562010</t>
  </si>
  <si>
    <t>WHITE ZIPPER #5</t>
  </si>
  <si>
    <t>#6 x 1/2" Pan Head Self Drilling Screws, Phillips Drive, 410 Stainless</t>
  </si>
  <si>
    <t>2026-04-13</t>
  </si>
  <si>
    <t>24172</t>
  </si>
  <si>
    <t>CRAFTMEMORE Grommets (1.5" Grommets - 100)</t>
  </si>
  <si>
    <t>2026-07-15</t>
  </si>
  <si>
    <t>Pure Life Purified Water Bottles, 24 Pack - Still Bottled Water Enhanc</t>
  </si>
  <si>
    <t>Evolution Power Tools 14BLADEST Blade for Cutting Mild Steel, For Circ</t>
  </si>
  <si>
    <t>Lasko Oscillating Cyclone Pedestal Fan, Adjustable Height, Timer, Remo</t>
  </si>
  <si>
    <t>43</t>
  </si>
  <si>
    <t>Pure Life Purified Water Bottles, 24 Pack - Still Bottled Water with A</t>
  </si>
  <si>
    <t>WHITE ZIPPER HEADS #5</t>
  </si>
  <si>
    <t>EHWINE 10 Pack 8.5x11 Wall Mount Acrylic Sign Holder, Wall Signs Photo</t>
  </si>
  <si>
    <t>47</t>
  </si>
  <si>
    <t>AmazonCommercial 2-Ply White 9' Jumbo Roll Toilet Paper/Bath Tissue (4</t>
  </si>
  <si>
    <t xml:space="preserve">Lamosi Disposable Coffee Cups 12 oz 100 Pack, Paper Coffee Cups 12 oz </t>
  </si>
  <si>
    <t>2026-03-19</t>
  </si>
  <si>
    <t>Nespresso Capsules Vertuo, Variety Pack, Medium and Dark Roast Coffee,</t>
  </si>
  <si>
    <t>1"</t>
  </si>
  <si>
    <t>2023-11-27</t>
  </si>
  <si>
    <t>48"</t>
  </si>
  <si>
    <t>NUPICK 6FT 0-30 PSI Adjustable High Pressure Propane Regulator with 0~</t>
  </si>
  <si>
    <t>2025-11-20</t>
  </si>
  <si>
    <t>24640</t>
  </si>
  <si>
    <t>40.8922</t>
  </si>
  <si>
    <t>SEW-020</t>
  </si>
  <si>
    <t>0000564997</t>
  </si>
  <si>
    <t>MILN-M5818C</t>
  </si>
  <si>
    <t>33243</t>
  </si>
  <si>
    <t>WHITE VELCRO 1" HOOK</t>
  </si>
  <si>
    <t>2025-04-10</t>
  </si>
  <si>
    <t>49</t>
  </si>
  <si>
    <t>2024-05-23</t>
  </si>
  <si>
    <t>Patio Table Umbrella Hole Ring,Pool Umbrella Sleeve,Umbrella Hole Ring</t>
  </si>
  <si>
    <t>2025-12-04</t>
  </si>
  <si>
    <t>ROLL (50 YDS)</t>
  </si>
  <si>
    <t xml:space="preserve">Sharpie S-Gel Gel Pens, Black Barrel, Medium Point (0.7mm), Black Gel </t>
  </si>
  <si>
    <t>150Pcs 1/2 Inch Grommet Tool Kit, Grommet Kit, Eyelet Kit with Leather</t>
  </si>
  <si>
    <t xml:space="preserve">MinliGUY Snap Fasteners Kit, Heavy Duty Fastener Tool and 60-Set 15mm </t>
  </si>
  <si>
    <t>2026-05-19</t>
  </si>
  <si>
    <t>CRAFTMEMORE 1.5 Inch ID Grommets Eyelets with Washers Aluminium Gromme</t>
  </si>
  <si>
    <t>2026-02-16</t>
  </si>
  <si>
    <t>Poly Bags (misc)</t>
  </si>
  <si>
    <t>Kai 7205 8 Inch Professional Shears</t>
  </si>
  <si>
    <t>Beaver Nylon Thread</t>
  </si>
  <si>
    <t xml:space="preserve">LuckIn 20-Pack Standoff Screws (1 in. Dia x 1 in. L), Stainless Steel </t>
  </si>
  <si>
    <t>2026-05-13</t>
  </si>
  <si>
    <t>51</t>
  </si>
  <si>
    <t>WHITE VELCRO 1" LOOP</t>
  </si>
  <si>
    <t>CD99158738</t>
  </si>
  <si>
    <t>Ptaedex 2 Pack Acrylic Pen Pencil Holder, Black Makeup Brush Holder Cu</t>
  </si>
  <si>
    <t>2025-10-24</t>
  </si>
  <si>
    <t>AmazonCommercial 2-Ply White Jumbo Roll Toilet Paper, 9 in, Septic Saf</t>
  </si>
  <si>
    <t>25184</t>
  </si>
  <si>
    <t>2026-04-22</t>
  </si>
  <si>
    <t>Windex Glass and Window Cleaner Spray Bottle, Packaging Designed to Pr</t>
  </si>
  <si>
    <t>Alpha Multi-Purpose Tape Green (GT1009GR)</t>
  </si>
  <si>
    <t>2025-11-12</t>
  </si>
  <si>
    <t>Silk Shelf-Stable Organic Soy Milk, Unsweetened, Dairy-Free, Vegan, No</t>
  </si>
  <si>
    <t>59</t>
  </si>
  <si>
    <t xml:space="preserve">CRAFTMEMORE Curtain Grommet 1.5 Inch ID Grommet Tool Kit Drape Eyelet </t>
  </si>
  <si>
    <t>2026-03-21</t>
  </si>
  <si>
    <t>TFTT SS Tape Measure - 16 ft</t>
  </si>
  <si>
    <t>Pacific Arc, Stainless Steel Ruler with Inch and Pica Measurements, 36</t>
  </si>
  <si>
    <t>2026-05-05</t>
  </si>
  <si>
    <t>Dunlop Steel-Toe Waterproof Boots - Black (sz 10)</t>
  </si>
  <si>
    <t>Amazon Basics Multipurpose Copy Printer Paper, 20 lb, 8.5 x 11 Inches,</t>
  </si>
  <si>
    <t>BLACK VELCRO 2" HOOK</t>
  </si>
  <si>
    <t>2026-01-15</t>
  </si>
  <si>
    <t>60</t>
  </si>
  <si>
    <t>Rhino Grinding Stone 4x2 in - 80 grit</t>
  </si>
  <si>
    <t>Rhino Grinding Stone 4x2 in - 60 grit</t>
  </si>
  <si>
    <t>61</t>
  </si>
  <si>
    <t>Fbshicung 6Set Walking Presser Feet Replacement for JUKI DNU-1541 CONS</t>
  </si>
  <si>
    <t xml:space="preserve">Tape Measure Body Measuring Tape, 120 Inch Soft Fabric Measuring Tape </t>
  </si>
  <si>
    <t>25405</t>
  </si>
  <si>
    <t>25453</t>
  </si>
  <si>
    <t>Venom 3-Step Premium Pad - Step 2</t>
  </si>
  <si>
    <t>20.0019Pv2</t>
  </si>
  <si>
    <t>Venom 3-Step Premium Pad - Step 3</t>
  </si>
  <si>
    <t>20.0019Pv3</t>
  </si>
  <si>
    <t>40.0051-AGT</t>
  </si>
  <si>
    <t>BLACK VELCRO 2" LOOP</t>
  </si>
  <si>
    <t>63</t>
  </si>
  <si>
    <t>roll (125 YDS)</t>
  </si>
  <si>
    <t>CD99167535</t>
  </si>
  <si>
    <t>65</t>
  </si>
  <si>
    <t>66</t>
  </si>
  <si>
    <t>PACKING TAPE</t>
  </si>
  <si>
    <t>54" x 1/2oz Dacron</t>
  </si>
  <si>
    <t>roll (40 YDS)</t>
  </si>
  <si>
    <t>113-5948792-4089027</t>
  </si>
  <si>
    <t>Review</t>
  </si>
  <si>
    <t>ROISKIN for (2024/2022/2020 Release) TabletFlre HD 8 &amp; 8 Plus Case 12th/10th Generation with Kickstand for Kids, Also for iPhone iPad Sony Nokia 8in</t>
  </si>
  <si>
    <t>114-5023611-5408260</t>
  </si>
  <si>
    <t>Sharpie Permanent Markers Bulk Set Fine Tip Markers Set For Plastic Metal Wood And More Black 36 Count</t>
  </si>
  <si>
    <t>BOX (36)</t>
  </si>
  <si>
    <t>Zeluga 23-266 360ft. 16 Gauge Reinforcement Coil Black Annealed Steel Tie Wire</t>
  </si>
  <si>
    <t>50 Piece 1/4" X 3/8" High Temp Silicone Rubber Tapered Plug Kit Powder Coating Custom Painting Supplies</t>
  </si>
  <si>
    <t>114-9991226-7314635</t>
  </si>
  <si>
    <t>Sharpie King Size Permanent Markers Chisel Tip Markers for Work &amp; Industrial Use 12 Count</t>
  </si>
  <si>
    <t>113-6029823-2248230</t>
  </si>
  <si>
    <t>Pure Life Purified Water Bottles, 24 Pack - Still Bottled Water with Added Minerals for a Crisp Taste, Plastic Bottles - 8 Fl Oz</t>
  </si>
  <si>
    <t>Ptaedex 2 Pack Acrylic Pen Pencil Holder, Black Makeup Brush Holder Cup Storage Office Desktop Desk Table Stationery Organizer</t>
  </si>
  <si>
    <t>113-0845555-4705054</t>
  </si>
  <si>
    <t>SEW-025</t>
  </si>
  <si>
    <t>113-9878741-7115415</t>
  </si>
  <si>
    <t>CLEAR PLASTIC TUBING 48" 2 MIL</t>
  </si>
  <si>
    <t>113-5641671-8390660</t>
  </si>
  <si>
    <t>Lucrave Tablet Wall Mount Holder, Aluminium Extendable iPad Wall Holder, with 360°Rotating Base Adjustable and Foldable for iPad Pro Air Mini, Galaxy Tab, All 4.7-13" Phones and Ta</t>
  </si>
  <si>
    <t>114-1233838-3341828</t>
  </si>
  <si>
    <t>CloroxPro Clorox Clean-Up Disinfectant Cleaner with Bleach Spray, 32 Ounces (35417)</t>
  </si>
  <si>
    <t xml:space="preserve">Lysol Disinfecting Wipes Bundle, Home Apartment Dorm Room Essentials and Cleaning Supplies, All Purpose Cleaner, Multi-surface Cleaning Wipes, Multi-Scent Sanitizing Wipes Bundle, </t>
  </si>
  <si>
    <t>ROLL (900 FT)</t>
  </si>
  <si>
    <t>114-9517279-9364214</t>
  </si>
  <si>
    <t>Fabuloso Professional All Purpose Cleaner &amp; Degreaser - Lavender, 1 Gallon (Pack of 1)</t>
  </si>
  <si>
    <t>113-4980233-5758652</t>
  </si>
  <si>
    <t>AT&amp;T SynJ 4-Line Corded/Cordless SMB Phone System SB67138 w/ 3 Cordless Handsets</t>
  </si>
  <si>
    <t>113-1187571-5658663</t>
  </si>
  <si>
    <t>SMUG Home Office Computer Desk Chair - Ergonomic Mid-Back Mesh Swivel Rolling Work with Wheels, Comfy Lumbar Support and Armrest, for Bedroom, Study, Dorm, Student, Adults</t>
  </si>
  <si>
    <t>114-3898198-8829807</t>
  </si>
  <si>
    <t>3M Particulate Respirator 8210V with Cool Flow Valve, Pack of 80, NIOSH APPROVED, Disposable, Smoke, Grinding, Sanding, Sawing, Sweeping, Woodworking, Dust</t>
  </si>
  <si>
    <t>SEW-026</t>
  </si>
  <si>
    <t>Milwaukee 48-22-3100 Marker, 1 mm Tip, Black, Pack of 36</t>
  </si>
  <si>
    <t>114-2752187-5251456</t>
  </si>
  <si>
    <t>EROSHAK Pneumatic Rivet Nut Gun (10-24 &amp; 1/4 &amp; 5/16 &amp; 3/8) Air Rivet Nut Pull Setter Tool with 4 Size Quick-Change Nose-Piece Assembly, 5pcs Mandrels Included with Each Size...</t>
  </si>
  <si>
    <t>PIPING WELT CORD</t>
  </si>
  <si>
    <t>114-6753666-2681828</t>
  </si>
  <si>
    <t>Breezliy 2 PCS Brass Tube Fitting, Half Union Gas Adapter 3/8" Flare x 1/2" NPT Male Pipe Connector</t>
  </si>
  <si>
    <t>DOZYANT Propane Regulator and Hose Universal Grill Regulator Replacement Parts, QCC1 Hose and Regulator for Most LP Gas Grill Heater and Fire Pit Table, 2 Feet</t>
  </si>
  <si>
    <t>ROLL (1,250 YDS)</t>
  </si>
  <si>
    <t>Keenkee 4 PCS Cabinet Latch Double Roller Catch Hardware for Cupboard Closet Kitchen Cabinet Door Latches and Catches, Black Nickel</t>
  </si>
  <si>
    <t>Amerock | Cabinet Knob | Polished Chrome | 1-3/8 inch (35 mm) Diameter | Versa | 1 Pack | Drawer Knob | Cabinet Hardware</t>
  </si>
  <si>
    <t>Keenkee 8 PCS Cabinet Latch Double Roller Catch Hardware for Cupboard Closet Cabinet Door Latches and Catches, Nickel</t>
  </si>
  <si>
    <t>Amerock | Cabinet Knob | Matte Black | 1-3/8 inch (35 mm) Diameter | Versa | 1 Pack | Drawer Knob | Cabinet Hardware</t>
  </si>
  <si>
    <t>113-9159950-9693007</t>
  </si>
  <si>
    <t>2000 lb Capacity - Heavy Duty Furniture Movers with Wheels and Moving Dolly, Includes Furniture Lifter Jacks Tool Set, Gliders, Sliders, 5 Rollers Casters Cart. Easily Move Furnitu</t>
  </si>
  <si>
    <t>113-5957783-3305029</t>
  </si>
  <si>
    <t>Ribbli Double Faced Black Satin Ribbon,1/4" x Continuous 25 Yards,Use for Bows Bouquet,Gift Wrapping,Floral Arrangement</t>
  </si>
  <si>
    <t>113-7737621-1040226</t>
  </si>
  <si>
    <t>Spindrift Sparkling Water, 4 Flavor Variety Pack, Made with Real Squeezed Fruit, 12 Fl Oz (Pack of 20)</t>
  </si>
  <si>
    <t>Diet Coke, 12 fl oz, 12 Pack (Package May Vary)</t>
  </si>
  <si>
    <t>Coca-Cola Coke Zero Sugar Diet Soda, 10 Pack</t>
  </si>
  <si>
    <t>DACRON ROLL</t>
  </si>
  <si>
    <t>114-9368692-8495449</t>
  </si>
  <si>
    <t>114-1336935-8463461</t>
  </si>
  <si>
    <t>Avenuebool Sewing Chalk Markers for Fabric, Aluminum Chalk Pencil Refillable Cartridge Set, Marking Tool for Sewing with Sharpener and 12 Pcs 4mm Refills(Colorful)</t>
  </si>
  <si>
    <t>ROLL (30 YDS)</t>
  </si>
  <si>
    <t>Scotch Contractor Grade Masking Tape, 1 Inch Wide (0.94 in. x 60.1 Yds) 6 Rolls, 3-Day Interior Clean Removal, Removes Easily Without Leaving Sticky Residue, Interior &amp; Exterior Us</t>
  </si>
  <si>
    <t>URASISTO 6 pcs Mini Pliers Set - Long, Bent, Needle Nose, Diagonal, End Cut, Combination - Spring Loaded Handle, 5 Inch - Mechanic, Craftsman Basic Tool Kit - Roll Up Carry Bag Inc</t>
  </si>
  <si>
    <t>WORKPRO 6" Slip Joint Pliers Tool, Large Soft Grip,Rust Prevention Finish, 3-Zone Serrated Jaw Forged from High Carbon Steel for Maximum Grip</t>
  </si>
  <si>
    <t>Tape Measure Body Measuring Tape, 120 Inch Soft Fabric Measuring Tape for Cloth Measurement, Double Scale Tailor Ruler for Weight Loss Medical Measurement Nursing Craft(5 Pack)</t>
  </si>
  <si>
    <t>114-8485228-8197064</t>
  </si>
  <si>
    <t>uxcell 2pcs Self-Adhesive Measuring Tape with Fractions 24 Inches 60cm Workbench Ruler, Peel and Stick Measure Tape for Woodworking, Saw, Drafting Table</t>
  </si>
  <si>
    <t>SEW-028</t>
  </si>
  <si>
    <t>114-0922468-9828209</t>
  </si>
  <si>
    <t>GINEE 10mm Rock Climbing Ropes 35FT Static Outdoor Safety Rope with Carabiner Arborist Tree Climb Rescue Grappling Lifeline Escape Descender Abseiling Rope Magnet Fishing Rope Blac</t>
  </si>
  <si>
    <t>Smart Surface 8727 Heavy Duty Self Adhesive Furniture Felt Pads 1-Inch Round Oatmeal 160-Piece Value Pack in Resealable Bag</t>
  </si>
  <si>
    <t>BEAVER POLYSTER THREAD</t>
  </si>
  <si>
    <t>114-6587547-6311461</t>
  </si>
  <si>
    <t xml:space="preserve">AmazonCommercial 2-Ply White 9' Jumbo Roll Toilet Paper/Bath Tissue (416972)|Bulk for Business |Septic Safe |Compatible with Universal Dispensers|FSC Certified |1000 feet per Roll </t>
  </si>
  <si>
    <t>169732.01</t>
  </si>
  <si>
    <t>ROLL (1 LB)</t>
  </si>
  <si>
    <t>113-9133171-2492212</t>
  </si>
  <si>
    <t xml:space="preserve">EHWINE 10 Pack 8.5x11 Wall Mount Acrylic Sign Holder, Wall Signs Photo Menu Flyer Display Holders, Plastic Clear Acrylic Frames for Office Home Hotel Business Store (with Adhesive </t>
  </si>
  <si>
    <t>111-5613276-6409805</t>
  </si>
  <si>
    <t>HP 972A PageWide Yellow Ink Cartridge for HP Printers | Works with Printer Series: 452, 477, 552dw, 577 | L0R92AN</t>
  </si>
  <si>
    <t>Amazon Basics Multipurpose Copy Printer Paper, 20 lb, 8.5 x 11 Inches, 8 Reams (4,000 Sheets), 92 Bright, White</t>
  </si>
  <si>
    <t>113-8769436-5470619</t>
  </si>
  <si>
    <t>Avenuebool Fabric Markers for Sewing, 5 Count Pack, Includes 2 Water Soluble Fabric Marker 2 Air Erasable Pens 1 Eraser Marker, Disappearing Ink Pen, Sewing Quilting Embroidery Sup</t>
  </si>
  <si>
    <t>SEW-029</t>
  </si>
  <si>
    <t>Amazon Basics Trash Bags, Tall Kitchen Drawstring, Unscented, 13 Gallon, 200 Count, Pack of 1</t>
  </si>
  <si>
    <t>100Pcs Fabric Marking Refills, White, High Temperature Disappearing Refill Heat Erasable Marker for Dressmaking DIY Sewing</t>
  </si>
  <si>
    <t>BLACK POLYSTER THREAD</t>
  </si>
  <si>
    <t>Akro-Mils 30235 AkroBins Plastic Storage Bins, Space-Saving Stackable Bins for Garage, Pantry, Craft Organization, 11" x 11" x 5", Black, 6-Pack</t>
  </si>
  <si>
    <t>Swiffer Sweeper Wet Mopping Cloths, Mops for Floor Cleaning, Open-Window Fresh, 24 Count</t>
  </si>
  <si>
    <t>Akro-Mils 30230 AkroBins Plastic Storage Bins, Space-Saving Stackable Bins for Garage, Pantry, Craft Organization, 11-" x 5-" x 5-", Black, 12-Pack</t>
  </si>
  <si>
    <t>SmartSign Magnetic 'C' Channel Label Holders | 2" x 6", Pack of 10</t>
  </si>
  <si>
    <t>Amazon Basics Wet &amp; Dry Sweeper Kit (1 Sweeper Handle, 7 Heavy Duty Dry Cloths, 3 Wet Floor Cloths) Pack of 1</t>
  </si>
  <si>
    <t>113-3992896-2443426</t>
  </si>
  <si>
    <t>Miracase for iPhone 16 Case 6.1'', Full-Body Bumper Phone case with Built-in Full Glass Screen &amp;Camera Control,No Gap,Compatible with MagSafe,Drop Proof 16 Cover,Black</t>
  </si>
  <si>
    <t>113-1862159-9649856</t>
  </si>
  <si>
    <t>Emsco Group Enormous Yard &amp; Garage Dust Pan - 24-Inch Mouth - Lightweight, Durable - Clip-On Features</t>
  </si>
  <si>
    <t>3 PK 24" Push Broom Outdoor, Heavy Duty Broom with 63" Long Handle, Shop Garage Broom with Stiff Bristle for Indoor Outdoor Floor Cleaning, Garden Patio Deck Warehouse Lawn Drivewa</t>
  </si>
  <si>
    <t>SEW-030</t>
  </si>
  <si>
    <t>XCIXCI 4 Pack Stainless Steel Mop and Broom Gripper with Hook, Screw Drilling or Self Adhesive Mop and Broom Holder Wall Mount, Storage Rack for Closet Laundry Garage Garden Tool O</t>
  </si>
  <si>
    <t>111-4324302-3156243</t>
  </si>
  <si>
    <t>9 Pcs 4.1 Inch Sewing Scissors Thread Snips, High-Carbon Steel Yarn Snips, Thread Snippers, Sewing Snips Thread Cutter Scissors for Stitch, Knitting, Mini DIY Supplies, Crafts</t>
  </si>
  <si>
    <t>FOAM GLUE CAN</t>
  </si>
  <si>
    <t>Dotted Pattern Paper for Sewing, 45 Inch x 10 Yards Tracing Paper for Pattern Drafting, Spaced Every Inch Alphanumeric Marking Paper for Dressmaking</t>
  </si>
  <si>
    <t>JARLINK 4 Pack Stretch Wrap, 5 Inches Shrink Wrap for Pallet Wrap, Moving Wrapping Plastic Roll, Industrial Strength Stretch Film up to 650% Stretch with Handles, 1000 Feet</t>
  </si>
  <si>
    <t>111-3716137-0562662</t>
  </si>
  <si>
    <t>BOX (12 CANS)</t>
  </si>
  <si>
    <t>Folgers Colombian Medium Roast Coffee, 12 Keurig K-Cup Pods (Pack of 6)</t>
  </si>
  <si>
    <t>111-4430014-0995439</t>
  </si>
  <si>
    <t>Tailor Scissors 205mm No.7205</t>
  </si>
  <si>
    <t>111-7744338-0770624</t>
  </si>
  <si>
    <t>Kai 5210 8-inch Dressmaking Shears (N5210)</t>
  </si>
  <si>
    <t>Kai Scissors 8in Shears, Multi</t>
  </si>
  <si>
    <t>26623</t>
  </si>
  <si>
    <t>40.7003s</t>
  </si>
  <si>
    <t>SEW-031</t>
  </si>
  <si>
    <t>70.0012</t>
  </si>
  <si>
    <t>BOX</t>
  </si>
  <si>
    <t>113-4611765-2311431</t>
  </si>
  <si>
    <t>Akro-Mils 30250 AkroBins Plastic Storage Bins, Space-Saving Stackable Bins for Garage, Pantry, Craft Organization, 15" x 16" x 7", Black, 6-Pack</t>
  </si>
  <si>
    <t>Brand: Akro-Mils · Seller: Amazon · Use: Wipes/Towels · Amazon cat: Home Improvement</t>
  </si>
  <si>
    <t>Car Coating Thickness Meter for Used Car Buyers, Paint Mil Thickness Meter Gauge Check The Car's Original Coating Auto Car Paint Meter (Black)</t>
  </si>
  <si>
    <t>Brand: RDINSCOS · Seller: KOEKA · Use: Uncategorized · Amazon cat: Business, Industrial, &amp; Scientific Supplies Basic</t>
  </si>
  <si>
    <t>111-0070830-9869867</t>
  </si>
  <si>
    <t>Days Without An Accident Poster</t>
  </si>
  <si>
    <t>SEW-032</t>
  </si>
  <si>
    <t>Brand: Complete Law Posters · Seller: Brixline · Use: Uncategorized · Amazon cat: Office Product</t>
  </si>
  <si>
    <t>111-4408861-4380217</t>
  </si>
  <si>
    <t>10.25" Square Swivel Replacement for Recliner Chair or Furniture - Ball Bearing Swivel Plate Mechanism - Flat - S1235-1</t>
  </si>
  <si>
    <t>Brand: chairpartsonline · Seller: chairpartsonline · Use: Break Room/Kitchen · Amazon cat: Home</t>
  </si>
  <si>
    <t>LOOSE FIBER</t>
  </si>
  <si>
    <t>D01-8431429-8534621</t>
  </si>
  <si>
    <t>YouTube Videos,YouTube TV,YouTube Short,Sports,Movies,Music...</t>
  </si>
  <si>
    <t>Brand: Apps For Google · Seller: Amazon Appstore · Use: Uncategorized · Amazon cat: Mobile Application</t>
  </si>
  <si>
    <t>113-2447843-0069019</t>
  </si>
  <si>
    <t>BAG</t>
  </si>
  <si>
    <t>Brand: EHWINE · Seller: ehwine · Use: Adhesives/Tape · Amazon cat: Office Product</t>
  </si>
  <si>
    <t>Mr. Pen- Dry Erase Board, 14" x 11" with a Black Dry Erase Marker, Small Mini White Board for Students, White Frame, Includes Double Sided Tapes</t>
  </si>
  <si>
    <t>Brand: Mr. Pen · Seller: Mr. Pen · Use: Office Supplies · Amazon cat: Office Product</t>
  </si>
  <si>
    <t>113-6397602-3174668</t>
  </si>
  <si>
    <t>Anycolor M-931 Label Tape Replacement for Brother P Touch M-931s M Tape 12mm 0.47 Silver M-K931 M-931s M931 Tape for Brother PT-M95 PT-70BM PT-90 PT-85 PT-65 Label Maker Refills, 4</t>
  </si>
  <si>
    <t>Brand: Anycolor · Seller: Anycolor · Use: Office Supplies · Amazon cat: Office Product</t>
  </si>
  <si>
    <t>Brand: Ptaedex · Seller: Ptaedex · Use: Office Supplies · Amazon cat: Home Improvement</t>
  </si>
  <si>
    <t>112-4452239-1445066</t>
  </si>
  <si>
    <t>#6 x 1/2" Pan Head Self Drilling Screws, Phillips Drive, 410 Stainless Steel Sheet Metal Screws,Self Tapping, Dovetail, Pack of 100</t>
  </si>
  <si>
    <t>SEW-033</t>
  </si>
  <si>
    <t>Brand: EASTLO · Seller: Eastlo · Use: Fasteners · Amazon cat: Business, Industrial, &amp; Scientific Supplies Basic</t>
  </si>
  <si>
    <t>113-1666471-9662666</t>
  </si>
  <si>
    <t xml:space="preserve">Brother Genuine P-touch TZE-MQG35 Tape, 1/2" (0.47") Wide Standard Laminated Tape, White on Lime Green, Laminated for Indoor or Outdoor Use, Water-Resistant, 0.47" x 16.4' (12mm x </t>
  </si>
  <si>
    <t>Brand: Brother · Seller: Amazon.com · Use: Office Supplies · Amazon cat: Office Product</t>
  </si>
  <si>
    <t>14X29 PILLOW INSERT</t>
  </si>
  <si>
    <t>113-5987225-5759449</t>
  </si>
  <si>
    <t>Brand: Spindrift · Seller: Amazon · Use: Break Room/Kitchen · Amazon cat: Grocery</t>
  </si>
  <si>
    <t>Modern Concrete Business Card Holder Desk - Aesthetic Fluted Minimalist Business Card Display Stand for Women &amp; Men - Sturdy Cement Business Cards Holder - Modern Industrial Aesthe</t>
  </si>
  <si>
    <t>Brand: Aotea Crafts · Seller: Aotea Crafts · Use: Uncategorized · Amazon cat: Home Improvement</t>
  </si>
  <si>
    <t>Sunbrella Clean Multi-Purpose Fabric Cleaner | All-in-One Solution for Water-Safe Fabrics and Vinyl | Upholstery Cleaner, Removes Stains &amp; Spills | Non-PFAS | 16 fl oz</t>
  </si>
  <si>
    <t>Brand: Sunbrella · Seller: Sunbrella Shop · Use: Janitorial/Cleaning · Amazon cat: Health and Beauty</t>
  </si>
  <si>
    <t>111-2491882-5665832</t>
  </si>
  <si>
    <t xml:space="preserve">Spampur Peg Board, 8 Pack Metal Pegboard Panels with 50 Hooks, Black Pegboards Wall Organizer, Heavy Duty Peg Board for Walls Home, Garage Tool Storage, Office Organization, Craft </t>
  </si>
  <si>
    <t>Brand: Spampur · Seller: Spampur Direct · Use: Wipes/Towels · Amazon cat: Home</t>
  </si>
  <si>
    <t>111-3964296-6595455</t>
  </si>
  <si>
    <t>enKo [6 Rolls, 2100 Labels] Address, Shipping &amp; Barcode Labels 30252 - Yellow (1-1/8" x 3-1/2") Compatible for Dymo LabelWriter &amp; Rollo Printer</t>
  </si>
  <si>
    <t>Brand: enKo Products · Seller: enKo Products · Use: Office Supplies · Amazon cat: Business, Industrial, &amp; Scientific Supplies Basic</t>
  </si>
  <si>
    <t>Amazon Basics Multipurpose Copy Printer Paper, 20 lb, 8.5 x 11 Inches, 5 Reams (2,500 Sheets), 92 Bright, White</t>
  </si>
  <si>
    <t>Brand: Amazon Basics · Seller: Amazon · Use: Office Supplies · Amazon cat: Office Product</t>
  </si>
  <si>
    <t>SEW-034</t>
  </si>
  <si>
    <t>INCLY 278PCS Pegboard Accessories Organizer Kit, Peg Board Hooks Assortment with Bins for Organizing Various Tools, Fit 1/8 or 1/4 inch Pegboard for Hanging Storage, Garage Wall At</t>
  </si>
  <si>
    <t>Brand: INCLY · Seller: Incly · Use: Wipes/Towels · Amazon cat: Home Improvement</t>
  </si>
  <si>
    <t>111-8301562-8232244</t>
  </si>
  <si>
    <t>Sharpie S-Gel Gel Pens, Black Barrel, Medium Point (0.7mm), Black Gel Ink Pens, 12 Count - Home, Office, School, Journaling, Writing, Note-Taking, Teacher Supplies</t>
  </si>
  <si>
    <t>Brand: Sharpie · Seller: Lumege (Serial Numbers Recorded) · Use: Office Supplies · Amazon cat: Office Product</t>
  </si>
  <si>
    <t>19X19 PILLOW INSERT</t>
  </si>
  <si>
    <t>113-5097427-2491465</t>
  </si>
  <si>
    <t>ZBEIVAN Cardboard Storage Bins Boxes 35 Packs 12x6x4.5 Inches, Easy Assembly Pantry Organizer Bins for Shelf, White</t>
  </si>
  <si>
    <t>Brand: ZBEIVAN · Seller: Dreamyard · Use: Wipes/Towels · Amazon cat: Home Improvement</t>
  </si>
  <si>
    <t>113-5331050-6460210</t>
  </si>
  <si>
    <t>SteeLoong 2 Drawer File Cabinets,Metal Office File Cabinet with Lock,Black Filing Cabinets for Home Office,Vertical Modern File Cabinet Office Two Drawers for Hanging Letter,Assemb</t>
  </si>
  <si>
    <t>Brand: SteeLoong · Seller: Steeloong · Use: Patio Product Parts · Amazon cat: Kitchen</t>
  </si>
  <si>
    <t>112-1207884-4081825</t>
  </si>
  <si>
    <t>Evolution Power Tools 14BLADEST Blade for Cutting Mild Steel, For Circular and Chop Saws, No Heat, No Burrs &amp; Virtually No Sparks, Carbide-Tipped TCT Blade For Cold Metal Cutting,1</t>
  </si>
  <si>
    <t>Brand: EVOLUTION · Seller: Amazon · Use: Cutting/Grinding · Amazon cat: Business, Industrial, &amp; Scientific Supplies Basic</t>
  </si>
  <si>
    <t>Tork Universal Hand Towel Roll White, Compatible with H21 Dispensers, 100% Recycled Fiber 6 Rolls x 800 Ft (RB8002)</t>
  </si>
  <si>
    <t>Brand: Tork · Seller: Amazon · Use: Office Supplies · Amazon cat: Business, Industrial, &amp; Scientific Supplies Basic</t>
  </si>
  <si>
    <t>Lysol Toilet Bowl Cleaner, Max Strength Bathroom Cleaning Supplies, Toilet Bowl Cleaner Clinging Gel, Home Essential, Instant Stain Removal, Disinfecting and Deodorizing, Bleach Fr</t>
  </si>
  <si>
    <t>Brand: Lysol · Seller: Amazon.com · Use: Janitorial/Cleaning · Amazon cat: Health and Beauty</t>
  </si>
  <si>
    <t>113-1411179-6607419</t>
  </si>
  <si>
    <t>Swiffer WetJet Antibacterial Solution Refill for Floor Mopping and Cleaning, All Purpose Multi Surface Floor Cleaning Solution, Fresh Citrus Scent, 1.25 Liters</t>
  </si>
  <si>
    <t>Brand: Swiffer · Seller: Amazon · Use: Janitorial/Cleaning · Amazon cat: Health and Beauty</t>
  </si>
  <si>
    <t>113-4695915-9003412</t>
  </si>
  <si>
    <t>Pure Life Purified Water Bottles, 24 Pack - Still Bottled Water Enhanced with Minerals for a Crisp Taste, Plastic Bottles - 8 Fl Oz</t>
  </si>
  <si>
    <t>Brand: Pure Life · Seller: Amazon.com · Use: Break Room/Kitchen · Amazon cat: Grocery</t>
  </si>
  <si>
    <t>3360 PCS 3/4" Colored Dot Stickers 16 Assorted Circle Color Coding Labels Stickers for Library Boxes Office Student Yard Sale Art Classroom</t>
  </si>
  <si>
    <t>Brand: AVERO · Seller: AVERO GROUP · Use: Office Supplies · Amazon cat: Office Product</t>
  </si>
  <si>
    <t>Amazon Basics 2-Ply Flex-Sheets Paper Towels, 12 Basics Rolls = 32 Regular Rolls, Everyday Value with 150 Sheets per Roll</t>
  </si>
  <si>
    <t>Brand: Amazon Basics · Seller: Amazon · Use: Wipes/Towels · Amazon cat: Health and Beauty</t>
  </si>
  <si>
    <t>24X24 PILLOW INSERT</t>
  </si>
  <si>
    <t>JASAI 18 Oz Clear Glass Soap Dispenser with Rust Proof Stainless Steel Pump, Refillable Liquid Hand soap Dispenser for Bathroom, Premium Kitchen Soap Dispenser (Clear).</t>
  </si>
  <si>
    <t>Brand: JASAI · Seller: JASAI · Use: Office Supplies · Amazon cat: Kitchen</t>
  </si>
  <si>
    <t>Nespresso Capsules Vertuo, Variety Pack, Medium and Dark Roast Coffee, 30 Count Coffee Pods, Brews 7.8 oz.</t>
  </si>
  <si>
    <t>Brand: Nespresso · Seller: Amazon · Use: Break Room/Kitchen · Amazon cat: Grocery</t>
  </si>
  <si>
    <t>111-3439943-9768259</t>
  </si>
  <si>
    <t>Brand: GINEE · Seller: GINEE · Use: Safety/PPE · Amazon cat: Sports</t>
  </si>
  <si>
    <t>111-8390303-8124244</t>
  </si>
  <si>
    <t>PLASTIC ROLL</t>
  </si>
  <si>
    <t>27098</t>
  </si>
  <si>
    <t>70.0300</t>
  </si>
  <si>
    <t>Brand: Avenuebool · Seller: ShuuYue · Use: Office Supplies · Amazon cat: Art and Craft Supply</t>
  </si>
  <si>
    <t>Brand: Scotch · Seller: Amazon · Use: Janitorial/Cleaning · Amazon cat: Home Improvement</t>
  </si>
  <si>
    <t>Dunlop Heavy-Duty Waterproof Boots - Blue (sz 12)</t>
  </si>
  <si>
    <t>40.7004</t>
  </si>
  <si>
    <t>111-6731787-7316242</t>
  </si>
  <si>
    <t>Genuine OEM brand name Canon J1 Staples 3 Cartridge/CS 5000 Staples/Cartridge 6707A001</t>
  </si>
  <si>
    <t>Brand: Canon · Seller: Professor Color · Use: Office Supplies · Amazon cat: Business, Industrial, &amp; Scientific Supplies Basic</t>
  </si>
  <si>
    <t>111-2185938-3694649</t>
  </si>
  <si>
    <t>GRISUN Onyx Black Fire Glass for Fire Pit, 20 Pounds 1/2 Inch High Luster Reflective Tempered Glass Rocks for Natural or Propane Fireplace, Safe for Outdoors and Indoors Firepit Gl</t>
  </si>
  <si>
    <t>SEW-037</t>
  </si>
  <si>
    <t>Brand: GRISUN · Seller: Grisun · Use: Patio Product Parts · Amazon cat: Lawn &amp; Patio</t>
  </si>
  <si>
    <t xml:space="preserve">FIXSMITH Microfiber Cleaning Cloth - Pack of 50, Microfiber Towels for Cars 16 x 12 in, Highly Absorbent Cleaning Rags, Lint-Free, Streak-Free Cleaning Cloths for Car Kitchen Home </t>
  </si>
  <si>
    <t>Brand: FIXSMITH · Seller: Automan Pro⭐️⭐️⭐️⭐️⭐️ · Use: Janitorial/Cleaning · Amazon cat: Home</t>
  </si>
  <si>
    <t>PLASTIC ROLL 2X12FTX200</t>
  </si>
  <si>
    <t>Kebada W1 Work Gloves for Men and Women, PU Coated Safety Gloves with Grip, Touchscreen, Ideal for Warehouse Package Handling, Construction, Gardening, 12 Pairs Gray Large</t>
  </si>
  <si>
    <t>Brand: Kebada · Seller: KEBADA · Use: Safety/PPE · Amazon cat: Business, Industrial, &amp; Scientific Supplies Basic</t>
  </si>
  <si>
    <t>111-1834420-1254656</t>
  </si>
  <si>
    <t>112-5454595-4721820</t>
  </si>
  <si>
    <t>Brand: Smart Surface · Seller: Smart Surface Products · Use: Patio Product Parts · Amazon cat: Home Improvement</t>
  </si>
  <si>
    <t>113-2166916-2873861</t>
  </si>
  <si>
    <t>NUPICK 6FT 0-30 PSI Adjustable High Pressure Propane Regulator with 0~60PSI Gauge Gas Flow Indicator，Propane Regulator with Hose for LP Gas Cooker, Burner, Turkey Fryer, Smoker</t>
  </si>
  <si>
    <t>Brand: NUPICK · Seller: Sparki-US · Use: Patio Product Parts · Amazon cat: Lawn &amp; Patio</t>
  </si>
  <si>
    <t>113-8894912-4887462</t>
  </si>
  <si>
    <t>AIEX 2 Pcs Table Umbrella Hole Rings, Umbrella Cone Wedge Silicone Patio Table Umbrella Hole Plug, Soft Terrace Table Umbrella Wedge for Coffee Shop Milk Tea Shop Courtyard (White)</t>
  </si>
  <si>
    <t>Brand: AIEX · Seller: HaiPingMian · Use: Break Room/Kitchen · Amazon cat: Lawn &amp; Patio</t>
  </si>
  <si>
    <t>113-8532784-9650633</t>
  </si>
  <si>
    <t>111-0011557-2721006</t>
  </si>
  <si>
    <t>Brand: Sharpie · Seller: Amazon.com · Use: Office Supplies · Amazon cat: Office Product</t>
  </si>
  <si>
    <t>Scotch Transparent Tape, Clear Tape Engineered for Office and Home Use, 3 Inche Core, 1 in x 2592 in, 3 Rolls</t>
  </si>
  <si>
    <t>Brand: Scotch · Seller: Amazon · Use: Adhesives/Tape · Amazon cat: Office Product</t>
  </si>
  <si>
    <t>Dritz Tailor's Marking Set, Assorted Colors</t>
  </si>
  <si>
    <t>Brand: Dritz · Seller: Amazon · Use: Office Supplies · Amazon cat: Art and Craft Supply</t>
  </si>
  <si>
    <t>111-0074834-5269865</t>
  </si>
  <si>
    <t>PLASTIC SHEETING .8MIL</t>
  </si>
  <si>
    <t>4 Pcs Pencil Sharpeners with Lid, Dual Holes Compact Colored Handheld Pencil Sharpener, Colored Handheld Sharpener Suitable for Kids Adults Students School Class Home Office (Ellip</t>
  </si>
  <si>
    <t>Brand: LBZLBZ · Seller: LBZLBZ（7-15 Days Fast Delivery） · Use: Office Supplies · Amazon cat: Office Product</t>
  </si>
  <si>
    <t>111-4939219-4316249</t>
  </si>
  <si>
    <t>Brand: Sunbrella · Seller: Texas Fabrics and Foam · Use: Cushion/Upholstery · Amazon cat: Art and Craft Supply</t>
  </si>
  <si>
    <t>27301</t>
  </si>
  <si>
    <t>ROLL (108"X1,200 FT)</t>
  </si>
  <si>
    <t>Brand: KalTell · Seller: kaltell · Use: Janitorial/Cleaning · Amazon cat: Kitchen</t>
  </si>
  <si>
    <t>Brand: Folgers K Cups · Seller: Amazon.com · Use: Break Room/Kitchen · Amazon cat: Grocery</t>
  </si>
  <si>
    <t>111-9162032-3372243</t>
  </si>
  <si>
    <t>Prelit Christmas Tree 6ft with Remote Control, 8 Light-Modes Artificial Christmas Trees with Lights, Xmas Tree with 1000 Thick Branch Tips &amp; 250 Lights, Easy Assembly Holiday Décor</t>
  </si>
  <si>
    <t>Brand: Lodeto · Seller: Woot · Use: Uncategorized · Amazon cat: Kitchen</t>
  </si>
  <si>
    <t>113-3027400-2728204</t>
  </si>
  <si>
    <t>MRS. MEYER'S CLEAN DAY Liquid Hand Soap Refill, Cruelty Free and Biodegradable Formula, Lemon Verbena Scent, 33 oz</t>
  </si>
  <si>
    <t>Brand: Mrs. MEYER'S · Seller: Amazon · Use: Janitorial/Cleaning · Amazon cat: Health and Beauty</t>
  </si>
  <si>
    <t>COCODOR Reed Diffuser Oil Refill/White Jasmine /6.7oz / 1 Pack/Aromatherapy, Home Fragrance, Scented Oils, Oils for Reed Diffuser, Bathroom Home Decor</t>
  </si>
  <si>
    <t>Brand: Cocod'or · Seller: COCODOR · Use: Janitorial/Cleaning · Amazon cat: Home</t>
  </si>
  <si>
    <t>MR.SIGA Non-Scratch Cellulose Scrub Sponge, Dual-Sided Dishwashing Sponge for Kitchen, 12 Pack</t>
  </si>
  <si>
    <t>Brand: MR.SIGA · Seller: Mr SIGA USA · Use: Janitorial/Cleaning · Amazon cat: Home</t>
  </si>
  <si>
    <t>Nestle Coffee mate Creamer Singles Variety Pack, Original, French Vanilla, Hazelnut, Non Dairy, No Refrigeration, 150 Count (Pack of 3)</t>
  </si>
  <si>
    <t>POLY BAGS</t>
  </si>
  <si>
    <t>Brand: Nestle Coffee mate · Seller: Amazon · Use: Break Room/Kitchen · Amazon cat: Grocery</t>
  </si>
  <si>
    <t>LOT</t>
  </si>
  <si>
    <t>SILICONE</t>
  </si>
  <si>
    <t>112-3625306-9471400</t>
  </si>
  <si>
    <t>BITIWEND Wireless Doorbell Chime for Blink - Compatible with Blink Video Doorbell and Blink Video Doorbell (2nd Gen) (1 Video Doorbell Extender 2 Receiver）</t>
  </si>
  <si>
    <t>Brand: BITIWEND · Seller: Bistee Store · Use: Uncategorized · Amazon cat: Home Improvement</t>
  </si>
  <si>
    <t>113-0458599-1393015</t>
  </si>
  <si>
    <t>Patio Table Umbrella Hole Ring,Pool Umbrella Sleeve,Umbrella Hole Ring,Pool Umbrella Stabilizer,Umbrella Pole Stabilizer For 2 To 2.5 Inch Patio Table Hole And 1.5 Inch Umbrella Ad</t>
  </si>
  <si>
    <t>Brand: XiuGlimpse · Seller: liangxing-UK · Use: Patio Product Parts · Amazon cat: Lawn &amp; Patio</t>
  </si>
  <si>
    <t>112-4882037-8837029</t>
  </si>
  <si>
    <t>Brand: 3M · Seller: Amazon · Use: Break Room/Kitchen · Amazon cat: Business, Industrial, &amp; Scientific Supplies Basic</t>
  </si>
  <si>
    <t>111-8615520-6215437</t>
  </si>
  <si>
    <t>smrtcol 7-Color Heat Erasable Fabric Markers with 42 Refills, Extra-Fine 0.5mm Tip for Sewing, Quilting, Embroidery, Crafts &amp; DIY Projects</t>
  </si>
  <si>
    <t>Brand: smrtcol · Seller: Livapro · Use: Office Supplies · Amazon cat: Home</t>
  </si>
  <si>
    <t>111-2362693-3948257</t>
  </si>
  <si>
    <t>BAOSHISHAN Replacement Blade for Electric Fabric Rotary (3 Pcs)</t>
  </si>
  <si>
    <t>Brand: BAOSHISHAN · Seller: BAOSHISHAN · Use: Cushion/Upholstery · Amazon cat: Kitchen</t>
  </si>
  <si>
    <t>111-3980280-1240214</t>
  </si>
  <si>
    <t>SEW-041</t>
  </si>
  <si>
    <t>BEAMNOVA 100mm 4 Inch Replacement Blade Alloy Steel for Electric Fabric Cutter Industrial Cloth Cutter Machine Scissor for Quilting Sewing</t>
  </si>
  <si>
    <t>Brand: BEAMNOVA · Seller: Beamnova USA · Use: Cushion/Upholstery · Amazon cat: Kitchen</t>
  </si>
  <si>
    <t>111-5034740-3484251</t>
  </si>
  <si>
    <t>Brand: Hillman · Seller: MaxWarehouse · Use: Fasteners · Amazon cat: Home Improvement</t>
  </si>
  <si>
    <t>112-7145087-2437837</t>
  </si>
  <si>
    <t>WHITE LINING ROLL</t>
  </si>
  <si>
    <t>Brand: Midwest Hearth · Seller: MN Warehouse Deals · Use: Patio Product Parts · Amazon cat: Home Improvement</t>
  </si>
  <si>
    <t>Midwest Hearth Fire Pit Gas Valve Kit - 1/2" NPT (Pewter)</t>
  </si>
  <si>
    <t>Brand: Midwest Hearth · Seller: MN Warehouse Deals · Use: Patio Product Parts · Amazon cat: Kitchen</t>
  </si>
  <si>
    <t>111-7574172-9793006</t>
  </si>
  <si>
    <t>111-7801276-7753032</t>
  </si>
  <si>
    <t>111-1946872-2733027</t>
  </si>
  <si>
    <t>Brand: DOZYANT · Seller: DOZYANT · Use: Patio Product Parts · Amazon cat: Lawn &amp; Patio</t>
  </si>
  <si>
    <t>111-2423317-4450622</t>
  </si>
  <si>
    <t>111-0844033-2175427</t>
  </si>
  <si>
    <t>Brand: CloroxPro · Seller: Amazon.com · Use: Janitorial/Cleaning · Amazon cat: Business, Industrial, &amp; Scientific Supplies Basic</t>
  </si>
  <si>
    <t>Spin Mop Replacement Head 4 Pack Mop Refill Compatible with Ocedar Triangle Swivel Mops Microfiber Swivel Mop Refill,Deep Clean,Machine Washable and Easy to Replace</t>
  </si>
  <si>
    <t>Brand: Higfra · Seller: Ainew Inc · Use: Janitorial/Cleaning · Amazon cat: Health and Beauty</t>
  </si>
  <si>
    <t>Small Trash Bags 4 Gallon - 100 Count 4 Gallon Trash Bag, Small Garbage Bags for Office Bedroom Bathroom Trash Bags, White 4 Gal Small Trash Can Liners</t>
  </si>
  <si>
    <t>SEW-042</t>
  </si>
  <si>
    <t>Brand: BENEVAL · Seller: BENEVAL · Use: Janitorial/Cleaning · Amazon cat: Home Improvement</t>
  </si>
  <si>
    <t>Brand: Lysol · Seller: Amazon · Use: Janitorial/Cleaning · Amazon cat: Health and Beauty</t>
  </si>
  <si>
    <t>WHITE POLYSTER THREAD</t>
  </si>
  <si>
    <t>O-Cedar EasyWring Microfiber Spin Mop, Bucket Floor Cleaning System, Red, Gray, Standard</t>
  </si>
  <si>
    <t>Brand: O-Cedar · Seller: Amazon · Use: Janitorial/Cleaning · Amazon cat: Home</t>
  </si>
  <si>
    <t>Rubbermaid F11612 Premium Cut-End Cotton Wet Mop Head 16oz White 1" Orange Band 12/Carton</t>
  </si>
  <si>
    <t>Brand: Rubbermaid Commercial Products · Seller: Amazon · Use: Janitorial/Cleaning · Amazon cat: Business, Industrial, &amp; Scientific Supplies Basic</t>
  </si>
  <si>
    <t>Dawn Professional Heavy Duty Manual Pot and Pan Dish Soap Detergent, 1 Gallon (Case of 2)</t>
  </si>
  <si>
    <t>Brand: P&amp;G PROFESSIONAL · Seller: Amazon · Use: Janitorial/Cleaning · Amazon cat: Business, Industrial, &amp; Scientific Supplies Basic</t>
  </si>
  <si>
    <t>Windex Glass and Window Cleaner Spray Bottle, Packaging Designed to Prevent Leakage and Breaking, Surface Cleaning Spray, Original Blue Scent, 23 Fl Oz</t>
  </si>
  <si>
    <t>Brand: Windex · Seller: Amazon.com · Use: Janitorial/Cleaning · Amazon cat: Health and Beauty</t>
  </si>
  <si>
    <t>AIDEA Sponges Kitchen, 50 Pack Heavy Duty Dish Sponge, Cleaning Dish Scrubber Sponge for Home and Kitchen, Stink-Free Cleaning Supplies for Pots, Pans</t>
  </si>
  <si>
    <t>Brand: AIDEA · Seller: AIDEA Cleaning · Use: Janitorial/Cleaning · Amazon cat: Kitchen</t>
  </si>
  <si>
    <t>Brand: Fabuloso · Seller: Amazon.com · Use: Janitorial/Cleaning · Amazon cat: Business, Industrial, &amp; Scientific Supplies Basic</t>
  </si>
  <si>
    <t>112-7428021-6107435</t>
  </si>
  <si>
    <t>DeckWise Ipe Oil Hardwood Deck Semi-Transparent 250 V.O.C. Natural Finish, 1-Gallon</t>
  </si>
  <si>
    <t>Brand: DeckWise · Seller: TheStainDepot · Use: Janitorial/Cleaning · Amazon cat: Home Improvement</t>
  </si>
  <si>
    <t>111-4904786-9750651</t>
  </si>
  <si>
    <t>5/16"-18 x 1 Thumb Screw Stainless Steel - White Tee Wing Plastic Knob - Standard/Coarse Thread Thumbscrew - Length: 1.000" - Proudly Built in USA - Package of (2)</t>
  </si>
  <si>
    <t>DEK-001</t>
  </si>
  <si>
    <t>Brand: Thumb Screw Depot · Seller: Thumb Screw Depot · Use: Cushion/Upholstery · Amazon cat: Business, Industrial, &amp; Scientific Supplies Basic</t>
  </si>
  <si>
    <t>111-7825856-8457023</t>
  </si>
  <si>
    <t>DEKTON</t>
  </si>
  <si>
    <t>Befenybay 4pcs 5/16"-18 x 1 Thumb Screw Stainless Steel Standard/Coarse Thread Black Aluminum Knob</t>
  </si>
  <si>
    <t>FABRICATION</t>
  </si>
  <si>
    <t>Brand: Befenybay · Seller: Befenybay · Use: Cushion/Upholstery · Amazon cat: Business, Industrial, &amp; Scientific Supplies Basic</t>
  </si>
  <si>
    <t>RAGS</t>
  </si>
  <si>
    <t>111-8022391-1376252</t>
  </si>
  <si>
    <t>PTCOL 28 Pack Safety Glasses Crystal Clear (Bulk Pack of 24+4) Unisex Anti-Scratch Protective Goggles Impact Resistant Lens Eyewear with ANSI Z87.1 Certified for Construction, Shoo</t>
  </si>
  <si>
    <t>Brand: PTCOL · Seller: PTCOL GROUP · Use: Safety/PPE · Amazon cat: Home Improvement</t>
  </si>
  <si>
    <t>112-3251351-2608258</t>
  </si>
  <si>
    <t>EZPIK Pro 36" Flexible Folding Grabber Tool for Elderly + Magnets, Reacher for Disabled &amp; Seniors Heavy Duty Rotating Grippers for Reaching Underneath, Trash Grabbers &amp; Pickers for</t>
  </si>
  <si>
    <t>Brand: EZPIK · Seller: EZPIK · Use: Janitorial/Cleaning · Amazon cat: Health and Beauty</t>
  </si>
  <si>
    <t>27474</t>
  </si>
  <si>
    <t>Brand: Swiffer · Seller: Amazon · Use: Office Supplies · Amazon cat: Health and Beauty</t>
  </si>
  <si>
    <t>Knit Rags (Used T-Shirts) - 50 lb</t>
  </si>
  <si>
    <t>40.0098T50</t>
  </si>
  <si>
    <t>Brand: XCIXCI · Seller: HomeJoyHaven · Use: Janitorial/Cleaning · Amazon cat: Home Improvement</t>
  </si>
  <si>
    <t>K-Bond 10pc Colorant Set</t>
  </si>
  <si>
    <t>10.0115</t>
  </si>
  <si>
    <t>DEK-002</t>
  </si>
  <si>
    <t>Brand: Coke Zero · Seller: Amazon.com · Use: Break Room/Kitchen · Amazon cat: Grocery</t>
  </si>
  <si>
    <t>50.0360</t>
  </si>
  <si>
    <t>Brand: KAI · Seller: Kai Scissors · Use: Cushion/Upholstery · Amazon cat: Art</t>
  </si>
  <si>
    <t>Zenesis Nano Blade - 4.5 in</t>
  </si>
  <si>
    <t>20.2516</t>
  </si>
  <si>
    <t>ACETONE</t>
  </si>
  <si>
    <t>Brand: TaShow · Seller: TaShow · Use: Cushion/Upholstery · Amazon cat: Home Improvement</t>
  </si>
  <si>
    <t>Brand: Diet Coke · Seller: Amazon.com · Use: Break Room/Kitchen · Amazon cat: Grocery</t>
  </si>
  <si>
    <t>20.5589</t>
  </si>
  <si>
    <t>Brand: uxcell · Seller: uxcell · Use: Adhesives/Tape · Amazon cat: Business, Industrial, &amp; Scientific Supplies Basic</t>
  </si>
  <si>
    <t>Zenesis Thin-Wall Core Bit - 1-3/8 in</t>
  </si>
  <si>
    <t>20.78540ZTW</t>
  </si>
  <si>
    <t>Brand: Amerock · Seller: Amazon · Use: Patio Product Parts · Amazon cat: Home Improvement</t>
  </si>
  <si>
    <t>Brand: BUSHIBU · Seller: BUSHIBU · Use: Cushion/Upholstery · Amazon cat: Home</t>
  </si>
  <si>
    <t>112-1652700-5641062</t>
  </si>
  <si>
    <t>Rexka 1/2 0.5 inch Flush Mount Black Plastic Body and Sheet Metal Hole Plug (Pack of 100)</t>
  </si>
  <si>
    <t>Brand: Rexka · Seller: REXKA · Use: Uncategorized · Amazon cat: Automotive Parts and Accessories</t>
  </si>
  <si>
    <t>111-5675946-3884226</t>
  </si>
  <si>
    <t>TRSMIMA Safety Harness Fall Protection - Men Construction Full Body Harness Kit for Work with Shock Absorbing Lanyard Tongue Buckle ANSI</t>
  </si>
  <si>
    <t>Brand: TT TRSMIMA · Seller: Trsmima · Use: Safety/PPE · Amazon cat: Apparel</t>
  </si>
  <si>
    <t>111-9819126-4205023</t>
  </si>
  <si>
    <t>Fbshicung 6Set Walking Presser Feet Replacement for JUKI DNU-1541 CONSEW P1206RB Singer 111G Brother B837 Sewing Machine Parts</t>
  </si>
  <si>
    <t>Brand: Fbshicung · Seller: Fbshicung US · Use: Cushion/Upholstery · Amazon cat: Home</t>
  </si>
  <si>
    <t>minyuexia Insulation Knife &amp; Sod Cutter Knife, 11.14-Inch Stainless Steel Sharp Double Sided Blade for foam insulation, Rockwool and Lawn Repair</t>
  </si>
  <si>
    <t>Brand: minyuexia · Seller: minyuexia · Use: Cushion/Upholstery · Amazon cat: Home Improvement</t>
  </si>
  <si>
    <t>112-8772128-4663447</t>
  </si>
  <si>
    <t>CKPSMS Brand - M Size Metal bobbins with Inner Hole Diameter just Short of 1/4inch(6mm) Compatible with/Replacement for CONSEW Brand 205RB,206RB JUKI Brand DNU-241,DNU-1541,DNU-154</t>
  </si>
  <si>
    <t>Brand: ckpsms · Seller: CKPSMS OFFICAL · Use: Cushion/Upholstery · Amazon cat: Home</t>
  </si>
  <si>
    <t>Left-Handed Sewing Fabric Scissors, 10 Inch Dressmaking Taior's Shears-Electroplated Finishing High Carbon Steel Scissors for Crafting, Tailoring, Leather-Cutting(Thread Cutter INC</t>
  </si>
  <si>
    <t>Brand: JINJIAN · Seller: JINJIAN Direct · Use: Break Room/Kitchen · Amazon cat: Home Improvement</t>
  </si>
  <si>
    <t>2 Packs 1/2-Inch Self-Adhesive Measuring Tape, 143 Inch or 366cm Peel and Stick Tape Measure, Imperial and Metric Scales, Left-Right Reading Ruler Tape for Workbench, Table Saw, Dr</t>
  </si>
  <si>
    <t>Brand: Qtcial · Seller: Qtcial Direct · Use: Tools · Amazon cat: Business, Industrial, &amp; Scientific Supplies Basic</t>
  </si>
  <si>
    <t>27565</t>
  </si>
  <si>
    <t>DEK-017</t>
  </si>
  <si>
    <t>POLISH</t>
  </si>
  <si>
    <t>Brand: EROSHAK · Seller: EROSHAK · Use: Pneumatic · Amazon cat: Automotive Parts and Accessories</t>
  </si>
  <si>
    <t>Tenax Tiger AGER - 1 LT</t>
  </si>
  <si>
    <t>10.0200Tiger</t>
  </si>
  <si>
    <t>1 STEP</t>
  </si>
  <si>
    <t>111-1191216-4153818</t>
  </si>
  <si>
    <t>111-4118540-6509018</t>
  </si>
  <si>
    <t>Aoneky 10 mm Static Outdoor Rock Climbing Rope, Fire Escape Safety Rappelling Rope (Black 2, 32)</t>
  </si>
  <si>
    <t>Brand: Aoneky · Seller: Aoneky · Use: Uncategorized · Amazon cat: Sports</t>
  </si>
  <si>
    <t>113-9676480-1602637</t>
  </si>
  <si>
    <t>Amazon Aware 100% Bamboo 3-Ply Toilet Paper, Unscented, 24 Rolls, FSC Certified, 350 Sheets, 8400 Count, Pack of 24, Plastic-Free</t>
  </si>
  <si>
    <t>Brand: Amazon Aware · Seller: Amazon · Use: Restroom/Paper · Amazon cat: Health and Beauty</t>
  </si>
  <si>
    <t>Thank You Cards with Envelopes &amp; Matching Stickers, Bulk Pack of 100, 4x6 Inch Minimalistic Design - Suitable for Business, Baby Shower, Wedding, Small Business, Graduation, Bridal</t>
  </si>
  <si>
    <t>Brand: Paper Play · Seller: The ComfyPal · Use: Office Supplies · Amazon cat: Office Product</t>
  </si>
  <si>
    <t>113-3417368-2260261</t>
  </si>
  <si>
    <t>Lamosi Disposable Coffee Cups 12 oz 100 Pack, Paper Coffee Cups 12 oz for Hot Drinks or Cold Beverages, Insulated Corrugated Ripple Wall Cup for Office, Cafe, Home or Travel (Black</t>
  </si>
  <si>
    <t>Brand: Lamosi · Seller: Lamosi · Use: Break Room/Kitchen · Amazon cat: Kitchen</t>
  </si>
  <si>
    <t>DEK-018</t>
  </si>
  <si>
    <t>Spindrift Lemonade 3 Flavor Variety 20 Pack,12 Fl Oz (Pack of 20)</t>
  </si>
  <si>
    <t>Amazon Basics 13 Gallon Flextra Strength Tall Kitchen Drawstring Trash Bags, Tear Resistant, 10% Post Consumer Recycled, 90 Count</t>
  </si>
  <si>
    <t>Brand: Amazon Basics · Seller: Amazon · Use: Break Room/Kitchen · Amazon cat: Health and Beauty</t>
  </si>
  <si>
    <t>2 STEP</t>
  </si>
  <si>
    <t>113-6389730-8072212</t>
  </si>
  <si>
    <t>Amazon Basics Gel Pens Fine Point Smooth Writing Pens, Retractable, Black, 0.7mm, 12 Pack</t>
  </si>
  <si>
    <t>27818</t>
  </si>
  <si>
    <t>Brand: Fabuloso · Seller: Boston Mart LLC · Use: Janitorial/Cleaning · Amazon cat: Business, Industrial, &amp; Scientific Supplies Basic</t>
  </si>
  <si>
    <t>Combination Square - 12 in</t>
  </si>
  <si>
    <t>70.0062</t>
  </si>
  <si>
    <t>Combination Square - 6 in</t>
  </si>
  <si>
    <t>70.00626</t>
  </si>
  <si>
    <t>Brand: Pssopp · Seller: Prexey · Use: Office Supplies · Amazon cat: Office Product</t>
  </si>
  <si>
    <t>Brand: keenkee · Seller: keenkee · Use: Patio Product Parts · Amazon cat: Home Improvement</t>
  </si>
  <si>
    <t>DEK-019</t>
  </si>
  <si>
    <t>Heavy-Duty Premium Apron</t>
  </si>
  <si>
    <t>40.6004</t>
  </si>
  <si>
    <t>3 STEP</t>
  </si>
  <si>
    <t>Brand: Amazon Basics · Seller: Amazon · Use: Janitorial/Cleaning · Amazon cat: Health and Beauty</t>
  </si>
  <si>
    <t>50.0380</t>
  </si>
  <si>
    <t>Brand: ROISKIN · Seller: ROISKIN US · Use: Uncategorized · Amazon cat: Wireless</t>
  </si>
  <si>
    <t>111-8374432-9224208</t>
  </si>
  <si>
    <t>Rivet Nut, LOKMAN 50 Pieces 5/16-18UNC Carbon Steel Flat Head Rivnut Threaded Insert Nut, Knurled Body (5/16''-18)</t>
  </si>
  <si>
    <t>Brand: LOKMAN · Seller: Lok Man · Use: Cushion/Upholstery · Amazon cat: Home Improvement</t>
  </si>
  <si>
    <t>111-5158599-7397851</t>
  </si>
  <si>
    <t>Stanbroil 1/2" OD x 3/8" ID 24" Non-Whistle Flexible Flex Gas Line Connector Kit for NG or LP Fire Pit and Fireplace</t>
  </si>
  <si>
    <t>Brand: Stanbroil · Seller: Stanbroil Outdoor LTD · Use: Patio Product Parts · Amazon cat: Lawn &amp; Patio</t>
  </si>
  <si>
    <t>Stanbroil 1/2" OD x 3/8" ID 48" Non-Whistle Flexible Flex Gas Line Connector Kit for LP or NG Propane Fire Pit Hose and Fireplace</t>
  </si>
  <si>
    <t>Brand: Stanbroil · Seller: Stanbroil Outdoor LTD · Use: Patio Product Parts · Amazon cat: Home Improvement</t>
  </si>
  <si>
    <t>111-0365767-8944251</t>
  </si>
  <si>
    <t>111-5634957-6809839</t>
  </si>
  <si>
    <t>Brand: keenkee · Seller: keenkee · Use: Fasteners · Amazon cat: Home Improvement</t>
  </si>
  <si>
    <t>12 PCS Tailors Pencil Set, Sewing Fabric Pencils and Fabric Marker Pens for Quilting, Sewing, Dressmaking Supplies, Water-Soluble, 6 Colors, Includes 2 Sharpeners</t>
  </si>
  <si>
    <t>DEK-021</t>
  </si>
  <si>
    <t>Brand: KALOUR PDAS · Seller: KALOUR pdas · Use: Office Supplies · Amazon cat: Art and Craft Supply</t>
  </si>
  <si>
    <t>4 IN BLUE BACKER</t>
  </si>
  <si>
    <t>113-2302653-3246601</t>
  </si>
  <si>
    <t>2Fold 3 Ring Binder 1.5 Inch with Clear Front Pocket - Premium PU Faux Leather Presentation Binder - Storage Pockets for Office Supplies, Business Card Holder, Pen/Pencil Loop (1.5</t>
  </si>
  <si>
    <t>Brand: 2Fold · Seller: 2Fold Supply · Use: Office Supplies · Amazon cat: Office Product</t>
  </si>
  <si>
    <t>113-8735598-3189859</t>
  </si>
  <si>
    <t>Avery Heavy-Duty View 3 Ring Binder, 1" One Touch Slant Rings, Holds 8.5" x 11" Paper, 1 Black Binder (05300)</t>
  </si>
  <si>
    <t>Brand: Avery · Seller: Amazon.com · Use: Uncategorized · Amazon cat: Office Product</t>
  </si>
  <si>
    <t>Sold Tags,100 PCS Sale Sold Tag with Pre-Attach Wire,Red Kraft Paper Service Tags for Retail Store Hang on Furniture</t>
  </si>
  <si>
    <t>Brand: Zawinmay · Seller: YACHEN COMPANY · Use: Office Supplies · Amazon cat: Office Product</t>
  </si>
  <si>
    <t>111-5160557-1769835</t>
  </si>
  <si>
    <t>Post-it Super Sticky Notes, Limited Edition Color Collection, 3x3 in, 15 Pads/Pack, 45 Sheets/Pad</t>
  </si>
  <si>
    <t>Brand: Post-it · Seller: Amazon · Use: Office Supplies · Amazon cat: Office Product</t>
  </si>
  <si>
    <t>TIESOME 2 Pieces L-Square Rule Clear Sewing Ruler, Plastic Measure Tailor Ruler 90 Degree Clear Sewing Ruler Square Framing Measuring Tool Fabric Sewing Measuring Supplies for Patt</t>
  </si>
  <si>
    <t>Brand: TIESOME · Seller: Lincyy · Use: Cushion/Upholstery · Amazon cat: Business, Industrial, &amp; Scientific Supplies Basic</t>
  </si>
  <si>
    <t>Post-it Super Sticky Notes, Assorted Bright Colors, 3x3 in, 15 Pads/Pack, 45 Sheets/Pad, 2X The Sticking Power, Recyclable, Multi-Color</t>
  </si>
  <si>
    <t>113-8361348-1637064</t>
  </si>
  <si>
    <t>18 Inch Zip Ties Double Sided Toothed,120 LBS Tensile Strength Heavy Duty Cable Wire Ties With Self-Locking Adjustable More Durable Nylon Tie Wraps for Indoor Outdoor White（100 Pac</t>
  </si>
  <si>
    <t>DEK-022</t>
  </si>
  <si>
    <t>Brand: JIANYANG · Seller: JIANYANG-US · Use: Shop Facility/Electrical · Amazon cat: Home Improvement</t>
  </si>
  <si>
    <t>2Fold 3 Ring Binder 1 Inch with Clear Front Pocket - Premium PU Faux Leather Presentation Binder - Extra Storage Pockets for Office Supplies, Business Card Holder, and Pen/Pencil L</t>
  </si>
  <si>
    <t>111-0272060-3818646</t>
  </si>
  <si>
    <t>Geetery 2 Pcs Closed for Cleaning Sign for Floor Two Sided Folding Bright Yellow Warning Signs for Commercial Use</t>
  </si>
  <si>
    <t>4 IN CUP WHEEL MEDIUM</t>
  </si>
  <si>
    <t>Brand: Geetery · Seller: Lecuanne · Use: Janitorial/Cleaning · Amazon cat: Business, Industrial, &amp; Scientific Supplies</t>
  </si>
  <si>
    <t>111-9530225-0830658</t>
  </si>
  <si>
    <t>Clorox, CLO32429CT, Germicidal Bleach, 3 / Carton, White</t>
  </si>
  <si>
    <t>Brand: Clorox · Seller: Shoplet · Use: Janitorial/Cleaning · Amazon cat: Business, Industrial, &amp; Scientific Supplies Basic</t>
  </si>
  <si>
    <t>113-7562187-1708244</t>
  </si>
  <si>
    <t>113-0000256-6088235</t>
  </si>
  <si>
    <t>JAM Paper® 10"x13" Open End Catalog Envelopes with Gum Closure - Teal Blue - 10/Pack</t>
  </si>
  <si>
    <t>Brand: JAM Paper · Seller: JAM Paper &amp; Envelope · Use: Office Supplies · Amazon cat: Office Product</t>
  </si>
  <si>
    <t>113-1771804-0778628</t>
  </si>
  <si>
    <t>CRAFTMEMORE 1.5 Inch ID Grommets Eyelets with Washers Aluminium Grommets for Curtain, Tarp, Vinyl 10 Pack</t>
  </si>
  <si>
    <t>Brand: CRAFTMEMORE · Seller: CRAFTMEMORE · Use: Cushion/Upholstery · Amazon cat: Home Improvement</t>
  </si>
  <si>
    <t>113-3393001-5199447</t>
  </si>
  <si>
    <t>CRAFTMEMORE Curtain Grommet 1.5 Inch ID Grommet Tool Kit Drape Eyelet Installation Grommet Setter, Hole Punch Cutter &amp; 10 Grommets (1.5 Inch)</t>
  </si>
  <si>
    <t>Brand: CRAFTMEMORE · Seller: CRAFTMEMORE · Use: Cushion/Upholstery · Amazon cat: Business, Industrial, &amp; Scientific Supplies Basic</t>
  </si>
  <si>
    <t>DEK-020</t>
  </si>
  <si>
    <t>28056</t>
  </si>
  <si>
    <t>Premium Resin-Filled Cup Wheel - 4 in (Fine)</t>
  </si>
  <si>
    <t>4 IN FINE CUP WHEEL</t>
  </si>
  <si>
    <t>Brand: Milwaukee · Seller: SOUTH AVE EAST LLC · Use: Office Supplies · Amazon cat: Office Product</t>
  </si>
  <si>
    <t>Brand: High Temp Masking Supply · Seller: High Temp Masking Supply LLC · Use: Adhesives/Tape · Amazon cat: Automotive Parts and Accessories</t>
  </si>
  <si>
    <t>20.0112p-F</t>
  </si>
  <si>
    <t>Brand: SMUG · Seller: Amazon.com · Use: Office Furniture · Amazon cat: Furniture</t>
  </si>
  <si>
    <t>114-4706753-4255443</t>
  </si>
  <si>
    <t>LuckIn 20-Pack Standoff Screws (1 in. Dia x 1 in. L), Stainless Steel Standoff Mounting Hardware for Acrylic Signs, Silver</t>
  </si>
  <si>
    <t>Brand: LuckIn · Seller: LuckIn Home · Use: Fasteners · Amazon cat: Home Improvement</t>
  </si>
  <si>
    <t>113-1156157-3973048</t>
  </si>
  <si>
    <t>3 Ring Binder Dividers with 5-Tabs for Letter Size, 1/5 Cut, 3-Hole Punched, Write &amp; Erase Plastic Binder Dividers Extra Durable Section Index Dividers for Binders, Pack of 5 Sets,</t>
  </si>
  <si>
    <t>Brand: Homakover · Seller: Homakover · Use: Uncategorized · Amazon cat: Office Product</t>
  </si>
  <si>
    <t>113-8714681-7712265</t>
  </si>
  <si>
    <t>Natural Cotton Rope(1inches x 100ft), 3-Strand Twisted Cotton Rope, Natural Thick Black Rope, Soft Rope Cord Craft Rope for DIY Crafts Decoration Pet Toys, Indoor &amp; Outdoor Use</t>
  </si>
  <si>
    <t>Brand: Ganggend · Seller: Ganggend · Use: Uncategorized · Amazon cat: Kitchen</t>
  </si>
  <si>
    <t>BeneLabel 2Pcs 65" Swing Chain Heavy Duty 1000 LBs Capacity Hanging Chains Porch Swing Chains and Hooks Black Coated Chain for Hammock Chairs, Hanging Chair, Punching Bags, for Ind</t>
  </si>
  <si>
    <t>Brand: BeneLabel · Seller: Besthouse · Use: Office Supplies · Amazon cat: Kitchen</t>
  </si>
  <si>
    <t>113-7953096-5553010</t>
  </si>
  <si>
    <t>4500 PCS 3/4" Colored Dot Stickers Circle Stickers Color Coding Labels, 10 Color Style Colorful Coding Label Sticker for Office, Student Classroom, Garage Sales (10 Rolls, 3/4 Inch</t>
  </si>
  <si>
    <t>Brand: labelon · Seller: Labelon Store · Use: Office Supplies · Amazon cat: Office Product</t>
  </si>
  <si>
    <t>DEK-027</t>
  </si>
  <si>
    <t>600PCS Sewing Pins Straight Pin for Fabric, Pearlized Ball Head Quilting Pins Long 1.5inch, Multicolor Corsage Stick Pin for Dressmaker, Jewelry DIY Decoration, Craft and Sewing Pr</t>
  </si>
  <si>
    <t>Brand: Sunenlyst · Seller: Enlyst · Use: Cushion/Upholstery · Amazon cat: Kitchen</t>
  </si>
  <si>
    <t>Crescent Locking C-Clamp with Swivel Pad Tips - Heavy-Duty Adjustable Clamp with Hex Key Recess &amp; Compound Action - C11CCSVN - 11", Red</t>
  </si>
  <si>
    <t>Brand: Wiss · Seller: Pattern Professional · Use: Tools · Amazon cat: Home Improvement</t>
  </si>
  <si>
    <t>AGER</t>
  </si>
  <si>
    <t>113-0519238-4061066</t>
  </si>
  <si>
    <t>Brand: Makita · Seller: Amazon · Use: Tools · Amazon cat: Home Improvement</t>
  </si>
  <si>
    <t>Fastenere Pop Rivets - 1/8" x 1/16" (100 pcs) Heavy Duty, Open-End, Low Carbon Steel, Dome-Head Blind Rivets, Corrosion-Resistant &amp; High Shear Strength, 4-1 Gap 0.020"-0.062"</t>
  </si>
  <si>
    <t>Brand: Fastenere · Seller: Fastenere · Use: Office Supplies · Amazon cat: Home Improvement</t>
  </si>
  <si>
    <t>113-1463821-8024209</t>
  </si>
  <si>
    <t>113-5424005-2587419</t>
  </si>
  <si>
    <t>S SATC 6" x 9" Maroon General Purpose Scuff Pads,10 Pack Automotive Pads for Scuffing,Scouring,Sanding,Paint Primer Prep Adhesion Scratch for Automotive Restoration,Handicrafts</t>
  </si>
  <si>
    <t>Brand: S SATC · Seller: abrasive · Use: Cutting/Grinding · Amazon cat: Automotive Parts and Accessories</t>
  </si>
  <si>
    <t>113-6821769-2821053</t>
  </si>
  <si>
    <t>Pack of 6, 1/8-Inch Titanium Nitride Coated Drill Bit, Hex Shank, Premium M2 High Speed Steel, for Metal, Plastic, Wood</t>
  </si>
  <si>
    <t>Brand: Drill Hulk · Seller: DrillHulk · Use: Tools · Amazon cat: Business, Industrial, &amp; Scientific Supplies Basic</t>
  </si>
  <si>
    <t>Pack of 6, 5/16-Inch Titanium Nitride Coated Drill Bit, Hex Shank, Premium M2 High Speed Steel, for Metal, Plastic, Wood</t>
  </si>
  <si>
    <t>28183</t>
  </si>
  <si>
    <t>40.0051-EGT</t>
  </si>
  <si>
    <t>DEK-028</t>
  </si>
  <si>
    <t>Brand: HP · Seller: HiTouch Business Services a BU of Staples · Use: Office Supplies · Amazon cat: Office Product</t>
  </si>
  <si>
    <t>113-3632954-8186602</t>
  </si>
  <si>
    <t>CLEAR SILICON DEKTON</t>
  </si>
  <si>
    <t>Pacific Arc, Stainless Steel Ruler with Inch and Pica Measurements, 36 Inches, Rubber Backed</t>
  </si>
  <si>
    <t>Brand: Pacific Arc · Seller: Omnitopia Supply · Use: Uncategorized · Amazon cat: Business, Industrial, &amp; Scientific Supplies Basic</t>
  </si>
  <si>
    <t>Brand: JUKI · Seller: GreyFit USA · Use: Maintenance/Lube · Amazon cat: Business, Industrial, &amp; Scientific Supplies</t>
  </si>
  <si>
    <t>4 Pack Sewing Machine Oiler Oil Dispenser 120ml Long Angled Spout Screw on Cap Extended Spout oil Bottle for DIY Craft Embroidery Machine Bicycles Power Tools Accessories Leakproof</t>
  </si>
  <si>
    <t>Brand: Warmshine · Seller: CUILIYANG · Use: Office Supplies · Amazon cat: Home Improvement</t>
  </si>
  <si>
    <t>113-1247526-9078602</t>
  </si>
  <si>
    <t>Genuine Joe - GJO2506008 Jumbo Dispenser Roll Bath Tissue (Pack of 8)</t>
  </si>
  <si>
    <t>Brand: Genuine Joe · Seller: Amazon · Use: Restroom/Paper · Amazon cat: Health and Beauty</t>
  </si>
  <si>
    <t>113-6827826-4129058</t>
  </si>
  <si>
    <t>250 Pieces Black Paper Clips Cute Teardrop Stainless Steel Paper Clips for Office Stationery School Supplies Wedding Invitations Scrapbooking Crafts Bookmarks Women Planners (1 inc</t>
  </si>
  <si>
    <t>Brand: DEEDYGO · Seller: DEEDYGO Direct (US) · Use: Office Supplies · Amazon cat: Office Product</t>
  </si>
  <si>
    <t>113-5456226-2080245</t>
  </si>
  <si>
    <t>iBayam 3-Pack 8" Heavy Duty Scissors with Ultra Sharp Blades and Comfort Grip Handles - For Office, Home, School, Sewing, and Crafts</t>
  </si>
  <si>
    <t>Brand: iBayam · Seller: Qi US · Use: Cushion/Upholstery · Amazon cat: Home Improvement</t>
  </si>
  <si>
    <t>113-4807479-2727407</t>
  </si>
  <si>
    <t>DEK-010</t>
  </si>
  <si>
    <t>113-0226313-2535471</t>
  </si>
  <si>
    <t xml:space="preserve">Sprayway Glass Cleaner Foaming Aerosol Spray, 15oz, Pack of 6 | Ammonia-Free, Streakless, Fast-Acting | Cleans &amp; Polishes Glass Surfaces | Fresh Scent, Removes Fingerprints, Dust, </t>
  </si>
  <si>
    <t>Brand: Sprayway · Seller: Amazon.com · Use: Janitorial/Cleaning · Amazon cat: Health and Beauty</t>
  </si>
  <si>
    <t>113-1296335-8425005</t>
  </si>
  <si>
    <t>Silk Shelf-Stable Organic Soy Milk, Unsweetened, Dairy-Free, Vegan, Non-GMO Project Verified,32 Fl Oz(Pack of 6)</t>
  </si>
  <si>
    <t>COLOR FOR DEKTON FABRICATION</t>
  </si>
  <si>
    <t>Brand: Silk · Seller: Amazon · Use: Break Room/Kitchen · Amazon cat: Grocery</t>
  </si>
  <si>
    <t>113-7302352-0867467</t>
  </si>
  <si>
    <t>Milwaukee Tool 48-22-7125 Magnetic Tape Measure 25 ft x 1.83 Inch, 2 Pack</t>
  </si>
  <si>
    <t>Brand: Milwaukee · Seller: OBreezy Shop of Wonders · Use: Tools · Amazon cat: Business, Industrial, &amp; Scientific Supplies Basic</t>
  </si>
  <si>
    <t>113-7623239-9024200</t>
  </si>
  <si>
    <t>113-8044569-0401806</t>
  </si>
  <si>
    <t>Amazon Basics 2-Ply Flex-Sheets Paper Towels, 12 Rolls = 32 Regular Rolls, 150 Sheets per Roll, Lint-Free for Multi-Surface Cleanups</t>
  </si>
  <si>
    <t>Brand: Amazon Basics · Seller: Amazon.com · Use: Janitorial/Cleaning · Amazon cat: Health and Beauty</t>
  </si>
  <si>
    <t>111-2029389-7917065</t>
  </si>
  <si>
    <t>Pine &amp; Linen 14 Pack Curtain Weight, Weight Cloth Curtain Weights for Home, Heavy Iron Weights Drapery Accessories, 28g Each for Home Office Hotel Curtains/Tablecloths</t>
  </si>
  <si>
    <t>Brand: PINE &amp; LINEN · Seller: Yingduo Shop · Use: Cushion/Upholstery · Amazon cat: Kitchen</t>
  </si>
  <si>
    <t>113-6328358-4925045</t>
  </si>
  <si>
    <t>Amazon Basics Disposable Clear Plastic Forks, Premium Quality, 100 Count, Large Pack</t>
  </si>
  <si>
    <t>113-0199718-5974631</t>
  </si>
  <si>
    <t>DEK-004</t>
  </si>
  <si>
    <t>Yuwiiuuo Leather Desk Pad Protector, Office Desk Mat, Large Mouse Pad, Non-Slip PU Leather Desk Blotter, Waterproof Computer Desk Writing Pad for Office and Home (Black, 36" x 17")</t>
  </si>
  <si>
    <t>Brand: Yuwiiuuo · Seller: yuwiiuuo · Use: Cushion/Upholstery · Amazon cat: Office Product</t>
  </si>
  <si>
    <t>28581</t>
  </si>
  <si>
    <t>CORE BIT 1-3/8"</t>
  </si>
  <si>
    <t>Brand: AT&amp;T · Seller: Trade Box Store · Use: Office Supplies · Amazon cat: CE</t>
  </si>
  <si>
    <t>Brand: Sharpie · Seller: Amazon · Use: Office Supplies · Amazon cat: Office Product</t>
  </si>
  <si>
    <t>112-3958447-0929831</t>
  </si>
  <si>
    <t xml:space="preserve">Double Sided Fabric Tape Heavy Duty for Hem, Fashion Dress, Cloth, Curtains, High Adhesive Sticky but Removable and Residue free, No Sewing or Ironing need, Multipurpose, 0.5 in x </t>
  </si>
  <si>
    <t>Brand: YINTTIAN · Seller: YINTTIAN · Use: Cushion/Upholstery · Amazon cat: Business, Industrial, &amp; Scientific Supplies Basic</t>
  </si>
  <si>
    <t>112-1551651-6181825</t>
  </si>
  <si>
    <t>DEK-005</t>
  </si>
  <si>
    <t>113-8972019-9015455</t>
  </si>
  <si>
    <t>Brand: Nespresso · Seller: Amazon.com · Use: Break Room/Kitchen · Amazon cat: Grocery</t>
  </si>
  <si>
    <t>Zenesis Thin-Wall Core Bit - 1 in</t>
  </si>
  <si>
    <t>CORE BIT 1"</t>
  </si>
  <si>
    <t>YIHONG 6 Pack Clear Pantry Organizer Bins, Plastic Containers with Handle for Kitchen,Freezer,Cabinet,Closet,Bathroom Under Sink Storage</t>
  </si>
  <si>
    <t>Brand: YIHONG · Seller: YiHong Life · Use: Wipes/Towels · Amazon cat: Home Improvement</t>
  </si>
  <si>
    <t>20.78520ZTW</t>
  </si>
  <si>
    <t>114-9468363-6425015</t>
  </si>
  <si>
    <t>IDEC RJ2S-C-D24 2 Poles DPDT, 24 VDC Coil Voltage, Plain Style, Plug in Terminal, RJ Series, Slim Power Relay</t>
  </si>
  <si>
    <t>Brand: Idec · Seller: Radwell International · Use: Shop Facility/Electrical · Amazon cat: Business, Industrial, &amp; Scientific Supplies Basic</t>
  </si>
  <si>
    <t>113-1517742-6780256</t>
  </si>
  <si>
    <t>113-1703351-0057843</t>
  </si>
  <si>
    <t>113-2495996-5456235</t>
  </si>
  <si>
    <t>95-96 Gallon Trash Bags Heavy Duty | 50 Count | Extra Large 95-96 Gallon Trash Can Liners | 90-100 Gal for Outdoor, Commercial, and Home Use</t>
  </si>
  <si>
    <t>Brand: Mini n Mod · Seller: SImple · Use: Janitorial/Cleaning · Amazon cat: Home Improvement</t>
  </si>
  <si>
    <t>Avenuebool Chalk Pencil Refills for Fabric, 12 Pcs, 4mm, Sewing Chalk Pencil Refillable Cartridge Set, Marking Tool for Sewing with Sharpener (6 white, 2 blue, 2 red, 2 yellow)</t>
  </si>
  <si>
    <t>Brand: Avenuebool · Seller: ShuuYue · Use: Office Supplies · Amazon cat: Office Product</t>
  </si>
  <si>
    <t>113-6499550-7795400</t>
  </si>
  <si>
    <t>Simple Green All Purpose Cleaner Concentrate 64 Fl Oz</t>
  </si>
  <si>
    <t>Brand: Simple Green · Seller: Amazon.com · Use: Janitorial/Cleaning · Amazon cat: Business, Industrial, &amp; Scientific Supplies Basic</t>
  </si>
  <si>
    <t>DEK-008</t>
  </si>
  <si>
    <t>113-8195581-2258648</t>
  </si>
  <si>
    <t>CUTTING (DEKTON)</t>
  </si>
  <si>
    <t>Brand: Tork · Seller: OfficeCrave · Use: Office Supplies · Amazon cat: Business, Industrial, &amp; Scientific Supplies Basic</t>
  </si>
  <si>
    <t>113-9730305-9818668</t>
  </si>
  <si>
    <t>AmazonCommercial 2-Ply White Jumbo Roll Toilet Paper, 9 in, Septic Safe, Compatible with Universal Dispensers, FSC Certified, 1000 Feet Per Roll (Pack of 12)</t>
  </si>
  <si>
    <t>DEKTON 16" BRIDGE SAW BLADE</t>
  </si>
  <si>
    <t>Brand: AmazonCommercial · Seller: Amazon.com · Use: Restroom/Paper · Amazon cat: Health and Beauty</t>
  </si>
  <si>
    <t>113-2214533-1132266</t>
  </si>
  <si>
    <t>kelamayi Upgrade Broom and Dustpan Set, Self-Cleaning with Dustpan Teeth, Indoor&amp;Outdoor Sweeping, Ideal for Dog Cat Pets Home Use, Stand Up Broom and Dustpan (Gray&amp;Orange)</t>
  </si>
  <si>
    <t>Brand: kelamayi · Seller: KYC Direct · Use: Janitorial/Cleaning · Amazon cat: Home</t>
  </si>
  <si>
    <t>113-5588139-9314650</t>
  </si>
  <si>
    <t>Kitsure Dish Drying Rack for Kitchen Counter, Stainless Steel Sink Organization and Storage Essentials with Cutlery Holder, Home and Appartment Decor, 12''W x 15.5''L, Black</t>
  </si>
  <si>
    <t>Brand: Kitsure · Seller: Kitsure-LLWW · Use: Break Room/Kitchen · Amazon cat: Home</t>
  </si>
  <si>
    <t>Cisily Sponge Holder for Kitchen Sink, Sink Caddy Organizer with High Brush Holder, Kitchen Countertop Organizers and Storage Essentials, Rustproof 304 Stainless Steel (Black, 9.25</t>
  </si>
  <si>
    <t>Brand: Cisily · Seller: CISILY HOME LIFE · Use: Wipes/Towels · Amazon cat: Kitchen</t>
  </si>
  <si>
    <t>113-7037844-5809007</t>
  </si>
  <si>
    <t>New Star Foodservice 533517 Commercial Grade Grease Resistant Anti-Fatigue Rubber Floor Mat, 36" x 60", Black</t>
  </si>
  <si>
    <t>Brand: New Star Foodservice · Seller: New Star Foodservice Inc · Use: Maintenance/Lube · Amazon cat: Kitchen</t>
  </si>
  <si>
    <t>HBTower 2 Step Ladder, Step Stool for Adults,2 Step Ladder Folding Step Stool with Wide Pedal Ergonomic Design</t>
  </si>
  <si>
    <t>Brand: HBTower · Seller: Amazon.com · Use: Shop Equipment · Amazon cat: Home Improvement</t>
  </si>
  <si>
    <t>113-7496956-4169821</t>
  </si>
  <si>
    <t>ARROW 16oz Claw Hammer with Shock-Absorbing Fiberglass Handle, Smooth Face and Forged Steel Head, Curved Claw Hammer for Carpentry and General Purpose</t>
  </si>
  <si>
    <t>Brand: Arrow Fastener · Seller: Kaya Depot · Use: Office Supplies · Amazon cat: Home Improvement</t>
  </si>
  <si>
    <t>INV000617</t>
  </si>
  <si>
    <t>113-5096898-3689064</t>
  </si>
  <si>
    <t>DEK-006</t>
  </si>
  <si>
    <t>Socket Head Cap Screw, 5/16-18 x 2", Alloy Steel, Black Oxide, Hex Socket (Quantity: 500) Coarse Thread, 5/16 inch Hexagonal Allen Bolt, Length: 2 inch, Partial Thread</t>
  </si>
  <si>
    <t>Brand: Newport Fasteners · Seller: Newport Fasteners · Use: Cushion/Upholstery · Amazon cat: Home Improvement</t>
  </si>
  <si>
    <t>113-8714631-1620239</t>
  </si>
  <si>
    <t>Jaloro 20 Pcs Triangle Tailors Chalk &amp; Fabric Markers Sets for Quilting, Sewing, Dressmaking Supplies Accessories, 4 Tailors Chalk, 12 Water-Soluble Pencil, 4 Pencil Sharpener</t>
  </si>
  <si>
    <t>Brand: Jaloro · Seller: YaiJuo · Use: Office Supplies · Amazon cat: Art and Craft Supply</t>
  </si>
  <si>
    <t>113-4215733-7453867</t>
  </si>
  <si>
    <t>DEKTON CUTTING BLADE 5"</t>
  </si>
  <si>
    <t>Brand: CRAFTMEMORE · Seller: CRAFTMEMORE · Use: Cushion/Upholstery · Amazon cat: Art and Craft Supply</t>
  </si>
  <si>
    <t>113-4651550-1946640</t>
  </si>
  <si>
    <t>Brio Bottom Loading Water Cooler Dispenser for 5 Gallon Bottles - 3 Temperatures with Hot, Room &amp; Cold Spouts, Child Safety Lock, LED Display with Empty Bottle Alert, Stainless Ste</t>
  </si>
  <si>
    <t>Brand: Brio · Seller: Amazon.com · Use: Office Supplies · Amazon cat: Home Improvement</t>
  </si>
  <si>
    <t>Pop up Sink Drain Stopper for Bathroom Vessel Vanity Sink Art Basin Brushed Nickel, Small Cap with Overflow, Metal Pop up Drain Strainer with Detachable Basket Stopper</t>
  </si>
  <si>
    <t>Brand: Ultimate Unicorn · Seller: Ultimate Unicorn · Use: Uncategorized · Amazon cat: Home</t>
  </si>
  <si>
    <t>Hibbent Upgraded 3 in 1 Bathroom Sink Drain Strainer, Universal Pop Up Stopper with Removable Stainless Steel Filter Basket Hair Catcher, Sink Plug for 1.1''~2.36'' Basin, Brass Co</t>
  </si>
  <si>
    <t>Brand: Hibbent · Seller: Intelligent3H US · Use: Uncategorized · Amazon cat: Home Improvement</t>
  </si>
  <si>
    <t>113-9875549-9401065</t>
  </si>
  <si>
    <t>Sharpie Permanent Markers, Bulk Set, Fine Tip Markers, For Plastic, Metal, Wood, And More, Black, 36 Count</t>
  </si>
  <si>
    <t>Scotch Contractor Grade Masking Tape, 0.94 inches by 60.1 Yards (540 Yards Total), 2020, 9 Rolls</t>
  </si>
  <si>
    <t>Brand: Scotch · Seller: Amazon · Use: Adhesives/Tape · Amazon cat: Home Improvement</t>
  </si>
  <si>
    <t>DEK-007</t>
  </si>
  <si>
    <t>113-0629842-3283453</t>
  </si>
  <si>
    <t>MRS. MEYER'S CLEAN DAY Hand Soap Refill, Lemon Verbena Scent, 33 Fl Oz Bottle</t>
  </si>
  <si>
    <t>Brand: Mrs. MEYER'S · Seller: Amazon.com · Use: Janitorial/Cleaning · Amazon cat: Health and Beauty</t>
  </si>
  <si>
    <t>113-5916024-1049839</t>
  </si>
  <si>
    <t>PAPERPAL Paperclips for Office School &amp; Personal Use, #1 Smooth Paper Clip (1-2/7"), 600 Medium Paper Clips (6 Boxes of 100 Each), Silver</t>
  </si>
  <si>
    <t>Green Bee Turbo Blade - 6 in</t>
  </si>
  <si>
    <t>Brand: PAPERPAL · Seller: PAPERPAL Direct · Use: Office Supplies · Amazon cat: Office Product</t>
  </si>
  <si>
    <t>DEKTON CUTTING BLADE 6"</t>
  </si>
  <si>
    <t>Swingline® Standard Staples, 1/4", Full Strip, Box of 5,000</t>
  </si>
  <si>
    <t>Brand: Swingline · Seller: Amazon.com · Use: Office Supplies · Amazon cat: Office Product</t>
  </si>
  <si>
    <t>Amazon Basics Multipurpose Copy Printer Paper, 20 lb, 8.5 x 11 Inches, 8 Reams (4,000 Sheets), 92 Bright White, Great for Crisp Ink Printing</t>
  </si>
  <si>
    <t>Ufmarine Medium Binder Clips 1.25 inch Length, (40 Pcs) Medium Paper Clips for Office Supplies</t>
  </si>
  <si>
    <t>Brand: Ufmarine · Seller: HiU. · Use: Office Supplies · Amazon cat: Office Product</t>
  </si>
  <si>
    <t>113-7307705-9889816</t>
  </si>
  <si>
    <t>113-0265020-5810602</t>
  </si>
  <si>
    <t>WD-40 Classic Formula, Multi-Use Product, Lubricates &amp; Protects Metal from Rust &amp; Corrosion, Drives Out Moisture &amp; Frees Grease &amp; Grime from Multiple Surfaces, 12 OZ [12-Pack]</t>
  </si>
  <si>
    <t>Brand: WD-40 · Seller: Amazon · Use: Maintenance/Lube · Amazon cat: Business, Industrial, &amp; Scientific Supplies Basic</t>
  </si>
  <si>
    <t>EADUTY Heavy Duty Polyurethane Recoil Air Hose 1/4 in x 50 ft, Lightweight, Flexible Compressor Hose with Universal Quick Coupler, I/M Plug and Bend Restrictors, Red</t>
  </si>
  <si>
    <t>Brand: EADUTY · Seller: Hangzhou Lvjing Import and Export Co., Ltd · Use: Pneumatic · Amazon cat: Home Improvement</t>
  </si>
  <si>
    <t>113-6455334-8115423</t>
  </si>
  <si>
    <t>113-4214031-3988225</t>
  </si>
  <si>
    <t>113-0748190-6456215</t>
  </si>
  <si>
    <t>113-3971356-3726652</t>
  </si>
  <si>
    <t>DEK-009</t>
  </si>
  <si>
    <t>112-3605946-6525804</t>
  </si>
  <si>
    <t>113-8510340-5376260</t>
  </si>
  <si>
    <t>Suwimut 3 Pieces Leather Craft Punching Pad, 7.9x5.9 Inch Rubber Mute Board Leather Punch Mat Cutting Hole Punch Stamping Tool for Leathers Working, DIY Craft</t>
  </si>
  <si>
    <t>Brand: Suwimut · Seller: Suwimut · Use: Cushion/Upholstery · Amazon cat: Kitchen</t>
  </si>
  <si>
    <t>DEKTON FABRICATION TAPE</t>
  </si>
  <si>
    <t>113-2726364-8879435</t>
  </si>
  <si>
    <t>113-3200994-2965001</t>
  </si>
  <si>
    <t>NUPICK 20 Pound Fire Glass, 1/2 Inch Reflective Fire Glass, Fit with Fire Pit and Fireplace, Black</t>
  </si>
  <si>
    <t>Brand: NUPICK · Seller: Sparki-US · Use: Shop Facility/Electrical · Amazon cat: Lawn &amp; Patio</t>
  </si>
  <si>
    <t>113-1618869-1630614</t>
  </si>
  <si>
    <t>Amerock Versa 1-3/8 inch (35mm) Diameter Matte Black Cabinet Knob - 10 Pack</t>
  </si>
  <si>
    <t>Brand: Amerock · Seller: Amazon.com · Use: Patio Product Parts · Amazon cat: Home Improvement</t>
  </si>
  <si>
    <t>113-3617963-6287457</t>
  </si>
  <si>
    <t>Amerock Versa 1-3/8 inch (35mm) Diameter Champagne Bronze Cabinet Knob - 10 Pack</t>
  </si>
  <si>
    <t>Amerock Versa 1-3/8 inch (35mm) Diameter Polished Chrome Cabinet Knob - 10 Pack</t>
  </si>
  <si>
    <t>113-7420929-3041836</t>
  </si>
  <si>
    <t>113-7883762-5224259</t>
  </si>
  <si>
    <t>113-8666033-4953063</t>
  </si>
  <si>
    <t xml:space="preserve">Double Sided Fabric Tape Heavy Duty for Hem, Fashion Dress, Cloth, Curtains, No Sewing or Ironing need, High Adhesive Sticky but Removable and Residue free, Multipurpose, 0.5 in x </t>
  </si>
  <si>
    <t>DEK-023</t>
  </si>
  <si>
    <t>PROSUN Fast Reload 3 Inch Wide Large Tape Gun Dispenser Packing Packaging Sealing Cutter (TG04-BLU)</t>
  </si>
  <si>
    <t>Brand: PROSUN · Seller: Y-Nut · Use: Office Supplies · Amazon cat: Office Product</t>
  </si>
  <si>
    <t>113-6525076-2682646</t>
  </si>
  <si>
    <t>MXBAOHENG Electric Rotary Cutter Cordless Electronic Scissors Rechargeable Cardboard Cutter with Safety Lock, for Cutting Fabric/Paper/Carpet/Leather (2 Batteries)</t>
  </si>
  <si>
    <t>Brand: MXBAOHENG · Seller: MXBAOHENGus Instrument Co. · Use: Shop Facility/Electrical · Amazon cat: Home Improvement</t>
  </si>
  <si>
    <t>DEKTON SAND PAPER 80/120</t>
  </si>
  <si>
    <t>113-7140851-0115436</t>
  </si>
  <si>
    <t>Pentel EnerGel RTX Retractable Liquid Gel Pen, (0.7mm) Medium Line, Metal Tip, Black Ink, Box of 12 (BL77-A)</t>
  </si>
  <si>
    <t>Brand: Pentel · Seller: Amazon · Use: Office Supplies · Amazon cat: Office Product</t>
  </si>
  <si>
    <t>113-1993300-0977035</t>
  </si>
  <si>
    <t>Wire Brush 9Pcs Metal Scrubber - Nylon/Brass/Stainless Steel Bristles with Curved Handle Grip for Cleaning Rust Removal, Dirt, Paint Scrubbing with Deep Cleaning - 7 Inches</t>
  </si>
  <si>
    <t>Brand: Lazzineer · Seller: duomi dianzi · Use: Janitorial/Cleaning · Amazon cat: Business, Industrial, &amp; Scientific Supplies Basic</t>
  </si>
  <si>
    <t>113-7773293-5309805</t>
  </si>
  <si>
    <t>Otoolling 1 Pack Rotary Curtain Puncher and 50 Pack 1-9/16 Curtain Grommet Plastic Roman Ring Can Make Grommet Kit Hole Punch Cutter for Window Shower Drapery, Living Room(Silver)</t>
  </si>
  <si>
    <t>Brand: Otoolling · Seller: Huiessa · Use: Cushion/Upholstery · Amazon cat: Kitchen</t>
  </si>
  <si>
    <t>113-2122272-1306626</t>
  </si>
  <si>
    <t>Brand: Silk · Seller: Amazon.com · Use: Break Room/Kitchen · Amazon cat: Grocery</t>
  </si>
  <si>
    <t>Nestle Coffee-Mate Original Flavor Creamer, Single Serve Portions, 50/Box</t>
  </si>
  <si>
    <t>Brand: Coffee Mate · Seller: ECOM-CENTRAL · Use: Break Room/Kitchen · Amazon cat: Grocery</t>
  </si>
  <si>
    <t>Amazon Basics Disposable Clear Assorted Cutlery Set, Premium Quality, 192 Count, Large Combo Pack Forks, Spoon and Knives</t>
  </si>
  <si>
    <t>Lavazza Super Crema Whole Bean Coffee, Medium Espresso Roast, Arabica and Robusta Blend, 2.2 lb Bag, Package May Vary (Pack of 1)</t>
  </si>
  <si>
    <t>Brand: Lavazza · Seller: Amazon · Use: Break Room/Kitchen · Amazon cat: Grocery</t>
  </si>
  <si>
    <t>29201</t>
  </si>
  <si>
    <t>DEK-016</t>
  </si>
  <si>
    <t>DEKTON TAPE MEASURE</t>
  </si>
  <si>
    <t>Brand: Miracase · Seller: Miracase-Authorizee-SANQI3 · Use: Break Room/Kitchen · Amazon cat: Wireless</t>
  </si>
  <si>
    <t>Brand: VALTAVO · Seller: Meisitai · Use: Shipping/Moving · Amazon cat: Kitchen</t>
  </si>
  <si>
    <t>Razor Blades 100ct - Case (25pk)</t>
  </si>
  <si>
    <t>40.0001CASE</t>
  </si>
  <si>
    <t>Brand: Breezliy · Seller: Luckapple · Use: Uncategorized · Amazon cat: Home Improvement</t>
  </si>
  <si>
    <t>Superior 17 LT GOLD Label (Indoor/Outdoor)</t>
  </si>
  <si>
    <t>60.0332</t>
  </si>
  <si>
    <t>113-9263896-7711429</t>
  </si>
  <si>
    <t>113-0872142-2733835</t>
  </si>
  <si>
    <t>Amazon Basics Multipurpose Copy Printer Paper, 20 lb, 8.5 x 11 Inches, 10 Reams (5,000 Sheets), 92 Bright White</t>
  </si>
  <si>
    <t>113-1673440-9706654</t>
  </si>
  <si>
    <t>Brand: Pure Life · Seller: Amazon · Use: Break Room/Kitchen · Amazon cat: Grocery</t>
  </si>
  <si>
    <t>DEK-026</t>
  </si>
  <si>
    <t>113-3007024-2264247</t>
  </si>
  <si>
    <t>Amazon Aware Bamboo 3-Ply Toilet Paper, Unscented, 24 Rolls, FSC Certified, 350 Sheets, 8400 Count, Pack of 24, Plastic-Free</t>
  </si>
  <si>
    <t>Brand: Amazon Aware · Seller: Amazon.com · Use: Restroom/Paper · Amazon cat: Health and Beauty</t>
  </si>
  <si>
    <t>DEMOND #2c DRESSER</t>
  </si>
  <si>
    <t>Amazon Basics 2-Ply Flex-Sheets Paper Towels, 12 Basics Rolls = 40 Regular Rolls, Everyday Value with 150 Sheets per Roll, Packaging May Vary</t>
  </si>
  <si>
    <t>Brand: Amazon Basics · Seller: Amazon.com · Use: Wipes/Towels · Amazon cat: Health and Beauty</t>
  </si>
  <si>
    <t>113-5027463-7019466</t>
  </si>
  <si>
    <t>EmazingLights CR2450 Batteries 3V Lithium Coin Cell Button Battery Long Lasting for Key Fob Candles Remotes (20 Pack)</t>
  </si>
  <si>
    <t>Brand: EmazingLights · Seller: INTO THE AM / iHeartRaves · Use: Shop Facility/Electrical · Amazon cat: Health and Beauty</t>
  </si>
  <si>
    <t>29217</t>
  </si>
  <si>
    <t>Brand: Amazon Basics · Seller: Amazon · Use: Break Room/Kitchen · Amazon cat: Grocery</t>
  </si>
  <si>
    <t>112-4684206-0622663</t>
  </si>
  <si>
    <t>113-1740364-0141025</t>
  </si>
  <si>
    <t>The Project Center 41502 6-20 by 1/2 Pan Head Self Drilling Screw with Phillips Drive</t>
  </si>
  <si>
    <t>Brand: Hillman · Seller: Hartville Hardware · Use: Fasteners · Amazon cat: Home Improvement</t>
  </si>
  <si>
    <t>113-1992368-5794605</t>
  </si>
  <si>
    <t>DEK-025</t>
  </si>
  <si>
    <t>Brand: Hillman · Seller: Amazon.com · Use: Fasteners · Amazon cat: Home Improvement</t>
  </si>
  <si>
    <t>Miller LPR-100 Half Mask Respirator w/Odor Relief ML00995 M/L</t>
  </si>
  <si>
    <t>Brand: Miller · Seller: Connecticut Express · Use: Janitorial/Cleaning · Amazon cat: Health and Beauty</t>
  </si>
  <si>
    <t>LordHardware 3/8'' Flat Washers OD 7/8'' 304 Stainless Steel Washers SAE Metal Washers,Pack of 100</t>
  </si>
  <si>
    <t>DESMOND #2c CUTTER</t>
  </si>
  <si>
    <t>Brand: LordHardware · Seller: Lordhardware · Use: Fasteners · Amazon cat: Business, Industrial, &amp; Scientific Supplies Basic</t>
  </si>
  <si>
    <t>113-5912366-3347462</t>
  </si>
  <si>
    <t>Aoneky Outdoor 10mm 32ft Static Utility Rope, Heavy Duty Polyester Rope for Pulling, Rigging, Tree Work &amp; Hunting, Gym Fitness, 2000LB Tensile Strength, Black</t>
  </si>
  <si>
    <t>Brand: Aoneky · Seller: Aoneky · Use: Shipping/Moving · Amazon cat: Home</t>
  </si>
  <si>
    <t>113-6959969-7473822</t>
  </si>
  <si>
    <t>113-7781339-0645058</t>
  </si>
  <si>
    <t>GVS SPR457 Elipse P100 Dust Half Mask Respirator with replaceable and reusable filters included, blue, m/l size</t>
  </si>
  <si>
    <t>Brand: GVS · Seller: Amazon · Use: Safety/PPE · Amazon cat: Business, Industrial, &amp; Scientific Supplies Basic</t>
  </si>
  <si>
    <t>113-0873015-7139401</t>
  </si>
  <si>
    <t>YONGJIN Double-Sided Fabric Tape (2 Rolls) - No Sewing or Ironing Required, Perfect for Quick Clothing Repairs, Fabric Bonding, Adhesive Cloth Tape for Hemming and DIY Crafts (1/4i</t>
  </si>
  <si>
    <t>Brand: YONGJIN · Seller: YONGJIN Packing · Use: Cushion/Upholstery · Amazon cat: Business, Industrial, &amp; Scientific Supplies Basic</t>
  </si>
  <si>
    <t>113-4313234-4953816</t>
  </si>
  <si>
    <t>Milwaukee 48-22-3104 Inkzall Point Marker, Fine, Black, 12 Markers</t>
  </si>
  <si>
    <t>Brand: Milwaukee · Seller: Berlin Corp · Use: Office Supplies · Amazon cat: Office Product</t>
  </si>
  <si>
    <t>29389</t>
  </si>
  <si>
    <t>70.0001</t>
  </si>
  <si>
    <t>DEK-013</t>
  </si>
  <si>
    <t>GLUE ACCELERATOR</t>
  </si>
  <si>
    <t>Brand: URASISTO · Seller: URASISTO · Use: Tools · Amazon cat: Home Improvement</t>
  </si>
  <si>
    <t>Brand: WORKPRO · Seller: UE Direct · Use: Maintenance/Lube · Amazon cat: Home Improvement</t>
  </si>
  <si>
    <t>Joker Core Bit - 1-3/8 in</t>
  </si>
  <si>
    <t>20.7611J</t>
  </si>
  <si>
    <t>Brand: Emsco Group · Seller: Amazon.com · Use: Janitorial/Cleaning · Amazon cat: Lawn &amp; Patio</t>
  </si>
  <si>
    <t>Brand: KAI · Seller: JCS-tsutsumishop · Use: Cushion/Upholstery · Amazon cat: Home Improvement</t>
  </si>
  <si>
    <t>Brand: KAI · Seller: Kai Scissors · Use: Cushion/Upholstery · Amazon cat: Art and Craft Supply</t>
  </si>
  <si>
    <t>112-4126916-2583401</t>
  </si>
  <si>
    <t>112-5362429-4802604</t>
  </si>
  <si>
    <t>Evolution 14BLADEAL14" 80T Aluminum Blade TCT Saw Blade for Evolution S14CPS, S15CPS, S355MCS, S355CPSL, S380CPS, EVOSAW380 1" Arbor Max 1600 RPM Precision Aluminum Cutting for Met</t>
  </si>
  <si>
    <t>Brand: EVOLUTION · Seller: Evolution Power Tools - USA · Use: Cutting/Grinding · Amazon cat: Home Improvement</t>
  </si>
  <si>
    <t>112-6108701-8150619</t>
  </si>
  <si>
    <t>112-9592378-0909824</t>
  </si>
  <si>
    <t>Brand: Milwaukee · Seller: customer first choice · Use: Office Supplies · Amazon cat: Office Product</t>
  </si>
  <si>
    <t>DEK-012</t>
  </si>
  <si>
    <t>113-2649443-0406664</t>
  </si>
  <si>
    <t>Double Sided Fabric Hem Tape For Clothes Pants Curtains,No Sew No Iron Hemming Fashion Tape For Women Clothes To Stay In Place,Dress Tape Fabric To Skin Friendly Sticky But Removab</t>
  </si>
  <si>
    <t>Brand: shimsol · Seller: Shimsol · Use: Cushion/Upholstery · Amazon cat: Business, Industrial, &amp; Scientific Supplies Basic</t>
  </si>
  <si>
    <t>CGOLDENWALL 1 Pc High speed steel Blade 70mm/2.75inch Diameter Rotary cutter blades for YJ-70A Electric Rotary Fabric Cutter Cloth Carpet Cutter</t>
  </si>
  <si>
    <t>Brand: CGOLDENWALL · Seller: Cgoldenwall Store · Use: Cushion/Upholstery · Amazon cat: Kitchen</t>
  </si>
  <si>
    <t>GLUE FOR DEKTON FABRICATION</t>
  </si>
  <si>
    <t>113-0054855-6979470</t>
  </si>
  <si>
    <t>100 Pk. Groz-Beckert 62X57 DVX57 Industrial Sewing Machine Needles (110/18)</t>
  </si>
  <si>
    <t>Brand: Groz-Beckert · Seller: Cutex Sewing Supplies · Use: Cushion/Upholstery · Amazon cat: Art and Craft Supply</t>
  </si>
  <si>
    <t>113-0752138-4076205</t>
  </si>
  <si>
    <t>Kai Scissors 7280 11in Shear</t>
  </si>
  <si>
    <t>Brand: KAI · Seller: Scissor Shop LLC · Use: Cushion/Upholstery · Amazon cat: Home</t>
  </si>
  <si>
    <t>113-1267019-6719409</t>
  </si>
  <si>
    <t>YAFIYGI Thread Snips Scissors for Sewing Small Plastic Sewing Nippers Embroidery Snippers Craft Snip Cutters and Thread Clippers for Cutting Thick Fabric and Fishing Line</t>
  </si>
  <si>
    <t>Brand: YAFIYGI · Seller: YAFIYGI · Use: Cushion/Upholstery · Amazon cat: Home Improvement</t>
  </si>
  <si>
    <t>113-5878595-2661827</t>
  </si>
  <si>
    <t>Brand: JARLINK · Seller: JarlinkDirect · Use: Shipping/Moving · Amazon cat: Office Product</t>
  </si>
  <si>
    <t>Goktvai 12pcs Fabric Pencils for Sewing, 4 Colors Tailors Chalk Pencil Tracing Tools Water Soluble Sewing Tracing Chalk for Dressmakers Quilting DIY Crafts Embroidery Supplies</t>
  </si>
  <si>
    <t>Brand: Goktvai · Seller: funysion · Use: Office Supplies · Amazon cat: Art and Craft Supply</t>
  </si>
  <si>
    <t>113-9762894-9340248</t>
  </si>
  <si>
    <t>Energizer CR2450 Lithium Battery, 3v ECR2450, Qty 6</t>
  </si>
  <si>
    <t>Brand: Energizer · Seller: Energy source · Use: Shop Facility/Electrical · Amazon cat: Health and Beauty</t>
  </si>
  <si>
    <t xml:space="preserve">Madam Sew Heat Erasable Fabric Marking Pens for Sewing and Quilting | Fabric Markers for Sewing, Embroidery, Dressmaking with 4 Pens + 4 Refills | No Ghost Lines, Disappearing Ink </t>
  </si>
  <si>
    <t>Brand: Madam Sew · Seller: MadamSew · Use: Office Supplies · Amazon cat: Office Product</t>
  </si>
  <si>
    <t>DEK-014</t>
  </si>
  <si>
    <t>113-1010499-8081803</t>
  </si>
  <si>
    <t>303 Products Marine Fabric Guard - Water Repellent &amp; Stain Shielding Fabric Spray, Safe for All Outdoor Upholstery, Simple &amp; Easy to Use, Protectant Spray for Boats, 1 Gallon</t>
  </si>
  <si>
    <t>Brand: 303 Products · Seller: Amazon.com · Use: Janitorial/Cleaning · Amazon cat: Automotive Parts and Accessories</t>
  </si>
  <si>
    <t>113-2196500-3483463</t>
  </si>
  <si>
    <t>HOT STUFF (PAIRS WITH GLUE ACCELERATOR)</t>
  </si>
  <si>
    <t>Rrina 30Pcs 304 Stainless Steel Welded Heavy D-Rings for Hand DIY Accessories Hardware Bags Ring Dog Leashes Dee Ring (1inch)</t>
  </si>
  <si>
    <t>Brand: Rrina · Seller: Rrina · Use: Cushion/Upholstery · Amazon cat: Apparel</t>
  </si>
  <si>
    <t>113-0775843-5416228</t>
  </si>
  <si>
    <t>113-8598136-5109831</t>
  </si>
  <si>
    <t>SINGER ProSeries 9" Pinking Shears - Heavy-Duty Stainless Steel - Zigzag Cut for No-Fray Fabric, Sewing &amp; Craft Edging</t>
  </si>
  <si>
    <t>Brand: SINGER · Seller: Creative Designs Depot · Use: Cushion/Upholstery · Amazon cat: Home</t>
  </si>
  <si>
    <t>Aleene's Stop Fraying Fray Repairing Adhesive, Seam Sealing Glue for Frayed Edges on Fabric, 2 fl oz</t>
  </si>
  <si>
    <t>Brand: Aleene's · Seller: Amazon.com · Use: Stone/Fab · Amazon cat: Home</t>
  </si>
  <si>
    <t>113-8964217-2529007</t>
  </si>
  <si>
    <t>MinliGUY Snap Fasteners Kit, Heavy Duty Fastener Tool and 60-Set 15mm Marine Snaps Stainless Steel for Boat Covers/Tarp/Canvas/Upholstery/Leather Metal Press Studs Replacement, Ins</t>
  </si>
  <si>
    <t>Brand: MinliGUY · Seller: MinliGUY Tools-Direct · Use: Cushion/Upholstery · Amazon cat: Home Improvement</t>
  </si>
  <si>
    <t>113-4557634-0605044</t>
  </si>
  <si>
    <t>113-3267033-9777804</t>
  </si>
  <si>
    <t>29667</t>
  </si>
  <si>
    <t>Acetone - 55 Gal Drum</t>
  </si>
  <si>
    <t>10.0302</t>
  </si>
  <si>
    <t>Brand: SmartSign · Seller: SmartSign · Use: Office Supplies · Amazon cat: Office Product</t>
  </si>
  <si>
    <t>Brand: Ribbli · Seller: Ribbli · Use: Uncategorized · Amazon cat: Kitchen</t>
  </si>
  <si>
    <t>DEK-011</t>
  </si>
  <si>
    <t>MIXING CUPS</t>
  </si>
  <si>
    <t>113-1526693-2078653</t>
  </si>
  <si>
    <t>COZYEXPR 5.6MM Mechanical Pencil Lead Refills - Rainbow, Graphite - Soft, Medium, Hard - Clutch Pencil Refills - 5 PCs</t>
  </si>
  <si>
    <t>Brand: COZYEXPR · Seller: Oasis-X · Use: Office Supplies · Amazon cat: Office Product</t>
  </si>
  <si>
    <t>113-5595814-7039406</t>
  </si>
  <si>
    <t>5/16"-18 x 1 Thumb Screw Stainless Steel - White Tee Wing Plastic Knob - Standard/Coarse Thread Thumbscrew - Length: 1.000" - Proudly Built in USA - Package of (4)</t>
  </si>
  <si>
    <t>113-8186685-3227429</t>
  </si>
  <si>
    <t>SINGER 50003 ProSeries Retractable Tape Measure, 98-Inch, Teal</t>
  </si>
  <si>
    <t>Brand: SINGER · Seller: Courage Tactical · Use: Break Room/Kitchen · Amazon cat: Home</t>
  </si>
  <si>
    <t>113-4022131-6705809</t>
  </si>
  <si>
    <t>Amazon Basics Multipurpose Copy Printer Paper, 20 lb, 8.5 x 11 Inches, 5 Reams (2,500 Sheets), 92 Bright White</t>
  </si>
  <si>
    <t>113-8593937-5593022</t>
  </si>
  <si>
    <t>1200 Sheets Lint Roller with 6 Upgraded Handles (6 Rollers + 6 Refill), Mage Value Set Sticky Lint Rollers for Pet Hair, Portable Pet Hair Remover for Clothes, Furniture, Carpet, D</t>
  </si>
  <si>
    <t>Brand: New England Stories · Seller: New England Stories · Use: Janitorial/Cleaning · Amazon cat: Home</t>
  </si>
  <si>
    <t>113-6020204-1698603</t>
  </si>
  <si>
    <t>Brand: LuckIn · Seller: LuckIn Home · Use: Fasteners · Amazon cat: Business, Industrial, &amp; Scientific Supplies Basic</t>
  </si>
  <si>
    <t>DEK-024</t>
  </si>
  <si>
    <t>114-3044857-2331420</t>
  </si>
  <si>
    <t>AEGIFT Drop-in Trash Chute - 304 Stainless Steel Square Built-in Countertop Waste Trash Grommet (220MM)</t>
  </si>
  <si>
    <t>Brand: AEGIFT · Seller: senyangmaoyi · Use: Janitorial/Cleaning · Amazon cat: Business, Industrial, &amp; Scientific Supplies Basic</t>
  </si>
  <si>
    <t>112-2188189-9957032</t>
  </si>
  <si>
    <t>MK SHARPENING / DRESSING STICK</t>
  </si>
  <si>
    <t>112-2579588-9441018</t>
  </si>
  <si>
    <t>8 Pack SPR321 P100 Respirator Filters Replacement, Compatible with Elipse Half Mask Respirator SPR451 SPR457 SPR449 SPR456 S/M M/L</t>
  </si>
  <si>
    <t>Brand: WUYIZHEHAO · Seller: Yishenda · Use: Safety/PPE · Amazon cat: Health and Beauty</t>
  </si>
  <si>
    <t>112-4199382-1548250</t>
  </si>
  <si>
    <t>112-9596192-6441809</t>
  </si>
  <si>
    <t>29922</t>
  </si>
  <si>
    <t>Convex Sink-Cutter Blade - 5 in</t>
  </si>
  <si>
    <t>20.8102</t>
  </si>
  <si>
    <t>DEK-003</t>
  </si>
  <si>
    <t>20.2606</t>
  </si>
  <si>
    <t>113-0856349-9959438</t>
  </si>
  <si>
    <t>RAZOR BLADES</t>
  </si>
  <si>
    <t>Brand: GVS · Seller: Amazon.com · Use: Safety/PPE · Amazon cat: Business, Industrial, &amp; Scientific Supplies Basic</t>
  </si>
  <si>
    <t>113-6526524-0835423</t>
  </si>
  <si>
    <t>Milwaukee (36PK) BLACK FINE POINT INKZALL MARKER</t>
  </si>
  <si>
    <t>113-8954983-5121055</t>
  </si>
  <si>
    <t>29939</t>
  </si>
  <si>
    <t>Makita PW5001C Polisher</t>
  </si>
  <si>
    <t>70.3110</t>
  </si>
  <si>
    <t>Brand: Lucrave · Seller: TYFan · Use: Uncategorized · Amazon cat: CE</t>
  </si>
  <si>
    <t>113-3079318-1042617</t>
  </si>
  <si>
    <t>Dunzoom 8 Pack 5 Inch Loose Leaf Binder Rings Large Book Metal D-Shaped Rings with Nickel Plated Steel for Index Cards Keychain Washi Tape Receipts Memos Files DIY Photos Craft Sup</t>
  </si>
  <si>
    <t>Brand: Dunzoom · Seller: GoneSee · Use: Break Room/Kitchen · Amazon cat: Office Product</t>
  </si>
  <si>
    <t>150Pcs 1/2 Inch Grommet Tool Kit, Grommet Kit, Eyelet Kit with Leather Hole Punch Pliers, 150 Metal Eyelets and Grommets for Leather, Shoes, Fabric, Belt (Silver)</t>
  </si>
  <si>
    <t>Brand: MoHern · Seller: MoHern · Use: Cushion/Upholstery · Amazon cat: Business, Industrial, &amp; Scientific Supplies Basic</t>
  </si>
  <si>
    <t>AKONEGE 2 Inch (25 Pack) Loose Leaf Binder Rings, Nickel Plated Steel, Silver, for School, Home, Office</t>
  </si>
  <si>
    <t>DEK-015</t>
  </si>
  <si>
    <t>Brand: AKONEGE · Seller: AKONEGE · Use: Break Room/Kitchen · Amazon cat: Office Product</t>
  </si>
  <si>
    <t>113-1832407-9668246</t>
  </si>
  <si>
    <t>ARES 27009-3-Piece 5/16-Inch Magnetic Impact Nut Driver Bit Set - 6-Inch Length - Impact Grade Nut Setters with Industrial Strength Magnets</t>
  </si>
  <si>
    <t>Brand: ARES · Seller: ARES TOOL · Use: Fasteners · Amazon cat: Home Improvement</t>
  </si>
  <si>
    <t>113-8664989-2144266</t>
  </si>
  <si>
    <t>Makita 9557NB2 4-1/2" Angle Grinder, with AC/DC Switch (2 Pack)</t>
  </si>
  <si>
    <t>WOOD SHIMS</t>
  </si>
  <si>
    <t>Brand: Makita · Seller: Amazon.com · Use: Cutting/Grinding · Amazon cat: Home Improvement</t>
  </si>
  <si>
    <t>INV002417</t>
  </si>
  <si>
    <t>Brand: Zeluga · Seller: TheHardwareCityCom · Use: Fasteners · Amazon cat: Business, Industrial, &amp; Scientific Supplies Basic</t>
  </si>
  <si>
    <t>113-6174128-7812227</t>
  </si>
  <si>
    <t>Brand: Genuine Joe · Seller: Amazon.com · Use: Restroom/Paper · Amazon cat: Health and Beauty</t>
  </si>
  <si>
    <t>113-8970192-5594643</t>
  </si>
  <si>
    <t>30118</t>
  </si>
  <si>
    <t>Brand: Epakh · Seller: Qeiuxinys · Use: Cushion/Upholstery · Amazon cat: Art and Craft Supply</t>
  </si>
  <si>
    <t>Abaco Lifter 50 Automatic (White Rubber)</t>
  </si>
  <si>
    <t>40.9901WA</t>
  </si>
  <si>
    <t>113-5960386-7485059</t>
  </si>
  <si>
    <t>113-6607314-9925025</t>
  </si>
  <si>
    <t xml:space="preserve">Smart Ink Compatible Ink Cartridges Replacement for HP 972A 972 A (4 Pack Combo) to use with PageWide Pro 477dw 577dw 452dw 477dn 452dn 577z 552dw 377dw P55250dw Printers (Black &amp; </t>
  </si>
  <si>
    <t>MET-001</t>
  </si>
  <si>
    <t>Brand: Smart Ink · Seller: Smart Ink Store · Use: Office Supplies · Amazon cat: CE</t>
  </si>
  <si>
    <t>METAL</t>
  </si>
  <si>
    <t>ASSEMBLY</t>
  </si>
  <si>
    <t>Brand: Scotch · Seller: Amazon · Use: Janitorial/Cleaning · Amazon cat: Business, Industrial, &amp; Scientific Supplies Basic</t>
  </si>
  <si>
    <t>Rexka 25pcs 3/8 Hole Front Bumper Splash Shield Rear Trim Panel Retainer Clip Fastener Compatible with Chrysler Dodge Jeep Buick Cadillac Chevrolet GMC Hummer Pontiac Saturn Chrysl</t>
  </si>
  <si>
    <t>Brand: Rexka · Seller: REXKA · Use: Fasteners · Amazon cat: Business, Industrial, &amp; Scientific Supplies Basic</t>
  </si>
  <si>
    <t>30193</t>
  </si>
  <si>
    <t>Alpha Apron - Yellow</t>
  </si>
  <si>
    <t>40.6006</t>
  </si>
  <si>
    <t>113-9597619-5870668</t>
  </si>
  <si>
    <t>4" Aluminum Weld on Bullet Hinge Stainless Steel Bushing &amp; Pin w/Zerk Grease Fitting (20)</t>
  </si>
  <si>
    <t>Brand: LavaLock · Seller: Island Outdoor, LLC · Use: Maintenance/Lube · Amazon cat: Home Improvement</t>
  </si>
  <si>
    <t>112-2244218-6086657</t>
  </si>
  <si>
    <t>Amazon Basics Tall Kitchen Drawstring Trash Bags, Sturdy, 13 Gallon, Unscented, 200 Count</t>
  </si>
  <si>
    <t>D01-5592506-5609821</t>
  </si>
  <si>
    <t>Prime Business Annual Membership Fee - Essentials</t>
  </si>
  <si>
    <t>Brand: n/a · Seller: Amazon US · Use: Subscription · Amazon cat: 46202000</t>
  </si>
  <si>
    <t>111-6236465-1528232</t>
  </si>
  <si>
    <t>DECIBEL DEFENSE Professional Safety Ear Muffs 37dB NRR - The HIGHEST Rated &amp; MOST COMFORTABLE Ear Protection for Shooting &amp; Industrial Use - THE BEST HEARING PROTECTION...GUARANTEE</t>
  </si>
  <si>
    <t>Brand: DECIBEL DEFENSE · Seller: Dart Enterprises · Use: Safety/PPE · Amazon cat: Home Improvement</t>
  </si>
  <si>
    <t>111-1818613-6181828</t>
  </si>
  <si>
    <t>Clear Safety Glasses Over Eyeglasses 12 PACK ANSI Z87.1 Impact Resistant Wide Vision Fits Over Most Prescription Glasses Dust/Chemical Splash Proof Lightweight Protective Eyewear f</t>
  </si>
  <si>
    <t>MET-002</t>
  </si>
  <si>
    <t>Brand: SATTRON · Seller: SATTRON · Use: Safety/PPE · Amazon cat: Apparel</t>
  </si>
  <si>
    <t>111-3649893-4916213</t>
  </si>
  <si>
    <t>3M Ear Plugs, E-A-Rsoft Yellow Neons 391-1004, Bottle of 500 Pair of Disposable Earplugs, Regular Size, Uncorded, 33 NRR, Tapered Cylinder Shape, Slow Recovery Foam</t>
  </si>
  <si>
    <t>111-5687911-3353010</t>
  </si>
  <si>
    <t>5/16-18 x 1" Stainless Stud, 1-1/2" OD Black GFN Base</t>
  </si>
  <si>
    <t>5/16-18 ADJUSTER 3/4" - 1 1/2"</t>
  </si>
  <si>
    <t>111-4969000-2475450</t>
  </si>
  <si>
    <t>Lasko Oscillating Cyclone Pedestal Fan, Adjustable Height, Timer, Remote Control, 3 Speeds, for Bedroom, Living Room, Home Office, 18", Black, 1843</t>
  </si>
  <si>
    <t>Brand: Lasko · Seller: Amazon.com · Use: Shop Facility/Electrical · Amazon cat: Home</t>
  </si>
  <si>
    <t>111-6848371-7438667</t>
  </si>
  <si>
    <t>HiCFM 30" Pedestal Standing Fan, 8300 CFM High Velocity 80° Oscillating Heavy Duty Metal Stand Fan for Industrial, Commercial, Garage, Workshop Use - UL Listed</t>
  </si>
  <si>
    <t>7682-1.5F-5SSUV-80</t>
  </si>
  <si>
    <t>Brand: HiCFM · Seller: HiCFM Fan · Use: Wipes/Towels · Amazon cat: Kitchen</t>
  </si>
  <si>
    <t>111-5708559-8866648</t>
  </si>
  <si>
    <t xml:space="preserve">10Ft Extension Cord with Multiple Outlets, Flat Plug Surge Protector Power Strip 10 Ft Long Cord, 8 Outlets &amp; 4 USB Ports (2 USB C), Desk Charging Station for Home Office, College </t>
  </si>
  <si>
    <t>Brand: SUPERDANNY · Seller: SUPERDANNY Direct · Use: Shop Facility/Electrical · Amazon cat: CE</t>
  </si>
  <si>
    <t>111-8839267-6697860</t>
  </si>
  <si>
    <t>Amazon Basics 20-Count Long-Lasting AAA Alkaline Batteries, 1.5V, 10-Year Leak-Proof Shelf Life for Remote Controls, Flashlights</t>
  </si>
  <si>
    <t>Brand: Amazon Basics · Seller: Amazon · Use: Shop Facility/Electrical · Amazon cat: CE</t>
  </si>
  <si>
    <t>113-3692763-4309851</t>
  </si>
  <si>
    <t>2 Ring Binder Mechanism, Magnetic Ring Binder 1 Inch, D Shaped Ring, for Hanging A5 Paper (Size 5.5 x 8.5 Inch, Half Letter), Pack of 10</t>
  </si>
  <si>
    <t>Brand: Ring Binder Depot · Seller: Ring Binder Depot · Use: Tools · Amazon cat: Office Product</t>
  </si>
  <si>
    <t>111-7061813-5592252</t>
  </si>
  <si>
    <t>assembly component · MOQ 5000 · made in China · ~90-day lead (order 6/23/26, ship ~Sep/Oct 2026)</t>
  </si>
  <si>
    <t>MET-003</t>
  </si>
  <si>
    <t>113-1748097-3724207</t>
  </si>
  <si>
    <t>SINGER 00220 Sewing Gauge, 6-Inch,</t>
  </si>
  <si>
    <t>Brand: SINGER · Seller: Amazon.com · Use: Cushion/Upholstery · Amazon cat: Home</t>
  </si>
  <si>
    <t>Drill bit, 1/8", titanium nitride coated M2 HSS, hex shank (6-pack)</t>
  </si>
  <si>
    <t>113-3391495-9839430</t>
  </si>
  <si>
    <t>1/8" DRILL BIT FOR RIVETS</t>
  </si>
  <si>
    <t>113-9777161-3604255</t>
  </si>
  <si>
    <t>112-7502248-1493854</t>
  </si>
  <si>
    <t>Drill Hulk 1/8 TiN hex shank, 6-pk</t>
  </si>
  <si>
    <t>113-3680927-3449046</t>
  </si>
  <si>
    <t>113-8560240-7115415</t>
  </si>
  <si>
    <t>USE: assembly. 1/8" is the pilot size for the FAS-007 tag pop rivets. Bought 2026-01-27 alongside ABR-008 (5/16") and the Makita 5/8" - three sizes, three jobs. ~$2.19/bit. ** PART OF THE DRILL BIT PROGRAM REVIEW - see follow-ups: sizes, brand (Milwaukee switch) and min/max not yet settled. ** Min/max provisional.</t>
  </si>
  <si>
    <t>113-3034066-6777067</t>
  </si>
  <si>
    <t>MET-004</t>
  </si>
  <si>
    <t>PROFORMA 6/23/26</t>
  </si>
  <si>
    <t>SHIP</t>
  </si>
  <si>
    <t>113-0565385-8911466</t>
  </si>
  <si>
    <t>SELF TAPPER FOR SPACERS</t>
  </si>
  <si>
    <t>Ecom Fasteners 1/4 inch x 1-1/2 inch Hex Cap Screw Grade 5 Zinc Plated Steel (Quantity: 100 pcs) Made in USA, 1/4-20 x 1 1/2 Hex Bolt/Coarse Thread/Partially Threaded 0.75 inches o</t>
  </si>
  <si>
    <t>Brand: Ecom Fasteners · Seller: Newport Fasteners · Use: Break Room/Kitchen · Amazon cat: Business, Industrial, &amp; Scientific Supplies Basic</t>
  </si>
  <si>
    <t>Ecom Fasteners 1/4 inch x 1 inch Hex Cap Screw Grade 5 Zinc Plated Steel (Quantity: 100 pcs) Made in USA, 1/4-20 x 1 Hex Bolt/Coarse Thread/Fully Threaded</t>
  </si>
  <si>
    <t>113-2521851-4673063</t>
  </si>
  <si>
    <t>Hillman 560262 equiv - cross-ref Fastenal PN (TBD)</t>
  </si>
  <si>
    <t>TALFIT Lever Action Barrel Pump,55 Gallon Drum Pump, For Fuels, Chemicals, Corrosive Liquids, Water Based Fluids, Fits 5 to 55 Gallon Drums &amp; Barrels (PPS - Ultra - Strong Corrosio</t>
  </si>
  <si>
    <t>Fastenal</t>
  </si>
  <si>
    <t>Brand: TALFIT · Seller: American_TA · Use: Shop Equipment · Amazon cat: Automotive Parts and Accessories</t>
  </si>
  <si>
    <t>113-5074338-6625856</t>
  </si>
  <si>
    <t>113-5298245-4289052</t>
  </si>
  <si>
    <t>113-8271074-0541039</t>
  </si>
  <si>
    <t>SWITCHED from Amazon to Fastenal - need Fastenal part number and unit price. Last Amazon price $12.81/100-pk (Hillman 560262). High burn: 35 boxes across 8 orders Dec 2025-Jun 2026 (~5/mo). NEW VENDOR - Fastenal not yet in vendor list. SPEC: zinc only - 410 stainless does not work for us (Christian, Aug 2026).</t>
  </si>
  <si>
    <t>113-1320407-9196261</t>
  </si>
  <si>
    <t>Brand: Smart Surface · Seller: Smart Surface Products · Use: Adhesives/Tape · Amazon cat: Home Improvement</t>
  </si>
  <si>
    <t>MET-005</t>
  </si>
  <si>
    <t>113-1616294-0630640</t>
  </si>
  <si>
    <t>AFMAT Electric Pencil Sharpener, Fully Automatic Pencil Sharpener for Classroom, 7-11.5mm Colored/Jumbo Pencils, Robot Pencil Sharpeners for Teacher Artitist Office Home, Rechargea</t>
  </si>
  <si>
    <t>Brand: AFMAT · Seller: AFMAT OFFICE · Use: Office Supplies · Amazon cat: Office Product</t>
  </si>
  <si>
    <t>Hex cap screw, 1/4-20 x 1-1/2", Grade 5, zinc plated, coarse thread, partially threaded (0.75" thread)</t>
  </si>
  <si>
    <t>1/4-20X1-1/2" SCREW FOR SWIVEL BASE</t>
  </si>
  <si>
    <t>113-8532988-0566623</t>
  </si>
  <si>
    <t>113-6074786-3018659</t>
  </si>
  <si>
    <t>Ecom Fasteners 1/4-20 x 1-1/2 Gr5 zinc, USA. Equiv: Hard-to-Find B00OHUWKOI</t>
  </si>
  <si>
    <t>72000</t>
  </si>
  <si>
    <t>Tempe Abrasives</t>
  </si>
  <si>
    <t>3M 969F Cubitron II Giant Flap Disc 4-1/2x7/8 40+</t>
  </si>
  <si>
    <t>969F-45-40</t>
  </si>
  <si>
    <t>14" 66T Steel Circular Saw Blade 102841</t>
  </si>
  <si>
    <t>102841</t>
  </si>
  <si>
    <t>113-7180022-1518659</t>
  </si>
  <si>
    <t>113-0440116-4694664</t>
  </si>
  <si>
    <t>Tork Universal Hand Towel Roll White, 6 Rolls x 800 Ft, RB8002</t>
  </si>
  <si>
    <t>Brand: Tork · Seller: Amazon · Use: Wipes/Towels · Amazon cat: Health and Beauty</t>
  </si>
  <si>
    <t>Clorox Plus Tilex Daily Shower Cleaner, Bleach-Free Bathroom Cleaner Spray, Safe for Most Tubs and Countertops, 32 fl. oz. Spray Bottle</t>
  </si>
  <si>
    <t>Brand: Clorox · Seller: Amazon · Use: Janitorial/Cleaning · Amazon cat: Health and Beauty</t>
  </si>
  <si>
    <t>Lysol Disinfecting Wipes, Cleaner, Lemon + Mango + Linen, 80 ct. (4 Pack)</t>
  </si>
  <si>
    <t>USE: swivel chair assembly - pairs with PRD-002 swivel plate; sibling FAS-004 is the 1" fully-threaded version (top vs bottom of the swivel - TBC). Bought as 100-pk at $32.63 ($0.33/ea), 400 pcs Jul 2026 via Newport Fasteners. PARTIALLY THREADED (0.75" of thread) - fully-threaded is not a valid sub if the shank carries shear. PRICE HIGH for a commodity Gr5 bolt - quote Fastenal.</t>
  </si>
  <si>
    <t>Hex cap screw, 1/4-20 x 1", Grade 5, zinc plated, coarse thread, FULLY threaded</t>
  </si>
  <si>
    <t>Brand: Simple Green · Seller: Amazon.com · Use: Janitorial/Cleaning · Amazon cat: Health and Beauty</t>
  </si>
  <si>
    <t>1/4-20X1" SCREW FOR SWIVEL BASE</t>
  </si>
  <si>
    <t>113-7376232-5092201</t>
  </si>
  <si>
    <t>Midwest Hearth Whistle Free Gas Flex Line for Fire Pit and Fireplace - Black Coated Stainless Steel (24" Long)</t>
  </si>
  <si>
    <t>113-6032534-1513817</t>
  </si>
  <si>
    <t>Ecom Fasteners 1/4-20 x 1 Gr5 zinc, USA. ASIN B0CK2YQCYW</t>
  </si>
  <si>
    <t>Brand: Milwaukee · Seller: U3J · Use: Tools · Amazon cat: Business, Industrial, &amp; Scientific Supplies Basic</t>
  </si>
  <si>
    <t>113-3187695-9625007</t>
  </si>
  <si>
    <t>Flame King YSN201HZL 20-LB Steel Horizontal Propane Tank Cylinder for Fire Pits and Tables, Patio Heaters, Barbeques, RVs, and Truck Campers, White</t>
  </si>
  <si>
    <t>Brand: Flame King · Seller: Amazon · Use: Shop Facility/Electrical · Amazon cat: Lawn &amp; Patio</t>
  </si>
  <si>
    <t>72000-1</t>
  </si>
  <si>
    <t>3M 769F Silver Flap Disc 4-1/2x7/8 40+</t>
  </si>
  <si>
    <t>769F-45-40</t>
  </si>
  <si>
    <t>INV004202</t>
  </si>
  <si>
    <t>USE: swivel chair assembly - mounts the PRD-002 swivel plate (top or bottom side; exact side TBC). Pairs with FAS-003 (1-1/2" partially threaded) - both bought 400 pcs on 2026-07-06. FULLY threaded, so not interchangeable with FAS-003 where shank shear matters. Bought as 100-pk at $28.79 ($0.29/ea) via Newport Fasteners. Quote Fastenal.</t>
  </si>
  <si>
    <t>MET-007</t>
  </si>
  <si>
    <t>BLACK THUMB SCREW</t>
  </si>
  <si>
    <t>Befenybay 5/16-18 x 1 thumb screw, black knob, 4-pk</t>
  </si>
  <si>
    <t>Hand-tightened (no tool) - customer-facing adjustment point. 5/16-18 thread matches FAS-001 rivet nut (Cardinal Components) - likely threads into a frame-set rivet nut. BLACK ALUMINUM KNOB is a visible finish - do not substitute. Color pair: FAS-006 is the WHITE tee-wing version, same thread, both stocked. ~$2.37 ea; 36 pcs across 3 orders Dec 2025-Apr 2026. Specific application TBC.</t>
  </si>
  <si>
    <t>Thumb screw, 5/16-18 x 1", stainless, WHITE tee-wing plastic knob (2-pack)</t>
  </si>
  <si>
    <t>WHITE THUMB SCREW</t>
  </si>
  <si>
    <t>Thumb Screw Depot 5/16-18 x 1, white tee-wing knob, 2-pk, USA</t>
  </si>
  <si>
    <t>WHITE knob variant - pairs with FAS-005 (black aluminum knurled knob), same 5/16-18 x 1" thread. Both stocked as color options. NOTE: white tee-wing is ~2x the price of black knurled ($4.90 vs $2.37 ea) - worth a cheaper white source. Threads into FAS-001 rivet nut.</t>
  </si>
  <si>
    <t>Pop rivet, 1/8" x 1/16", dome head, open-end blind, low carbon steel (100-pack)</t>
  </si>
  <si>
    <t>1/8 RIVET FOR CC PATIO TAGS</t>
  </si>
  <si>
    <t>Fastenere 1/8 x 1/16 dome head blind rivet, grip 0.020-0.062", 100-pk</t>
  </si>
  <si>
    <t>USE: attaching product TAGS (Christian, Aug 2026). ** ADDRESS - MATERIAL CHANGE NEEDED: these are LOW CARBON STEEL and will rust outdoors. Switch to ALUMINUM or STAINLESS. Steel rivets on an outdoor product are a callback risk - rust streaks show on the tag and the surface around it. ** Permanent one-shot fastener - not the same as FAS-001 threaded rivet nut. Grips 0.020-0.062" thin sheet. 300 rivets bought 2026-01-27, same day as the drill bits. Min/max provisional pending the material switch.</t>
  </si>
  <si>
    <t>MET-010</t>
  </si>
  <si>
    <t>SWIVEL BASE</t>
  </si>
  <si>
    <t>S1235-1, 10.25" square swivel</t>
  </si>
  <si>
    <t>H &amp; R Fabrics (H R Sales Inc)</t>
  </si>
  <si>
    <t>USE: Ocean Swivel Chair base. SWITCHED from Amazon to local supplier H &amp; R Fabrics. Order on demand. Mounts with FAS-003 (1-1/2" partial thread) and FAS-004 (1" full thread). NEW VENDOR - H &amp; R Fabrics not previously in catalog or purchase history.</t>
  </si>
  <si>
    <t>MET-011</t>
  </si>
  <si>
    <t>FIRE PIT REGULATOR</t>
  </si>
  <si>
    <t>DOZYANT QCC1 regulator + 2 ft hose, ASIN B01GZPBCPU</t>
  </si>
  <si>
    <t>LOW pressure QCC1 - not interchangeable with high-pressure adjustable regulators. Fire table BOM with PRD-005/007 flex line, PRD-012 union, PRD-008 valve, PRD-009 tank.</t>
  </si>
  <si>
    <t>MET-012</t>
  </si>
  <si>
    <t>GAS LINE 4'</t>
  </si>
  <si>
    <t>Stanbroil B07PMR4WY5 (48")</t>
  </si>
  <si>
    <t>Seller: Stanbroil Outdoor LTD. 48" length - see PRD-007 for 24". Other lengths: 12" B01LYX77VV, 36" B07CGGKWJD. 17 units bought Jan-Mar 2026; worth a direct-from-Stanbroil price check. LENGTHS ARE SEPARATE ROWS.</t>
  </si>
  <si>
    <t>MET-013</t>
  </si>
  <si>
    <t>Flex gas line connector kit, 1/2" OD x 3/8" ID, 24", non-whistle</t>
  </si>
  <si>
    <t>GAS LINE 2'</t>
  </si>
  <si>
    <t>24" whistle-free flex line. Stanbroil B01LYX3MQ8 $17.99 (plain) | Midwest Hearth $22.72 (BLACK COATED STAINLESS)</t>
  </si>
  <si>
    <t>24" length - see PRD-005 for 48". Other lengths: 12" B01LYX77VV, 36" B07CGGKWJD. TWO BUILDS IN USE: Stanbroil plain $17.99, and Midwest Hearth BLACK COATED STAINLESS $22.72 (+26%). Coated stainless is the more durable outdoor choice and looks better where the line is visible - ** decide which is the standard as part of the fire table BOM review. ** Midwest Hearth also supplies the PRD-008 valve kit. Most recent buy 2026-08-04, same day as the PRD-009 horizontal tank.</t>
  </si>
  <si>
    <t>MET-014</t>
  </si>
  <si>
    <t>Fire pit gas valve kit, 1/2" NPT</t>
  </si>
  <si>
    <t>FIRE PIT KEY VALVE</t>
  </si>
  <si>
    <t>Midwest Hearth fire pit gas valve kit, 1/2" NPT. Finishes: standard $24.70, pewter $29.65</t>
  </si>
  <si>
    <t>Seller: MN Warehouse Deals. Fire table BOM: PRD-003 regulator + PRD-005/PRD-007 flex line + this valve. 1/2" NPT matches the 1/2" OD flex lines. FINISH VARIANT: pewter available at $29.65 - order per job, not stocked separately (7 standard + 3 pewter bought Dec 2025). Check whether HPC now supplies this (they took over fire glass).</t>
  </si>
  <si>
    <t>MET-015</t>
  </si>
  <si>
    <t>Propane tank cylinder, 20 lb steel, HORIZONTAL, white</t>
  </si>
  <si>
    <t>HORIZONTAL PROPANE TANK</t>
  </si>
  <si>
    <t>Flame King YSN201HZL</t>
  </si>
  <si>
    <t>HORIZONTAL cylinder - lies flat inside enclosed fire table bases where a vertical tank will not fit. Fire table BOM with PRD-003, PRD-005/007, PRD-008.</t>
  </si>
  <si>
    <t>MET-016</t>
  </si>
  <si>
    <t>Hole plug, 1/2", flush mount, black plastic - body &amp; sheet metal (100-pack)</t>
  </si>
  <si>
    <t>HOLE PLUG 1/2"</t>
  </si>
  <si>
    <t>Rexka 1/2" flush mount black hole plug, 100-pack</t>
  </si>
  <si>
    <t>Caps open tube ends / drilled holes on metal frames. ~$0.13 ea. 1,000 bought Dec 2025. SIZE: 1/2" only so far - confirm whether 3/4" or 1" are also used (separate rows if so).</t>
  </si>
  <si>
    <t>Brass half union gas adapter, 3/8" flare x 1/2" NPT male (2-pack)</t>
  </si>
  <si>
    <t>FIRE PIT BRASS ADAPTER</t>
  </si>
  <si>
    <t>Breezliy brass half union, 3/8 flare x 1/2 NPT male, 2-pk</t>
  </si>
  <si>
    <t>JOINS the 3/8" flare flex line (PRD-005/PRD-007) to the 1/2" NPT valve kit (PRD-008). ~$4.13 ea. 20 pcs bought Sep 2025. Low-cost part that stops a fire table assembly if missing.</t>
  </si>
  <si>
    <t>BLACK CABINET LATCH</t>
  </si>
  <si>
    <t>Keenkee double roller catch, black nickel, 4-pk</t>
  </si>
  <si>
    <t>USE: fire pit / fire table CABINET DOORS - holds the access door shut over the PRD-009 tank enclosure. The DARK latch (black nickel). Light latch is PRD-017 (nickel). Customer-visible finish - do not substitute. ** CABINET HARDWARE NOT SOLIDIFIED (Christian, Aug 2026) - decide the standard set before optimizing anything. Selection is on FIT and FINISH QUALITY, not price. ** Current set: PRD-013 latch black nickel (dark) | PRD-017 latch nickel (light) | PRD-014 knob matte black (dark) | PRD-016 knob polished chrome (light) | PRD-015 knob champagne bronze (warm extra) | PRD-006 bullet hinge. Finishes must match the powder coat colorways sold.</t>
  </si>
  <si>
    <t>MET-019</t>
  </si>
  <si>
    <t>Cabinet knob, 1-3/8" (35mm) diameter, matte black (10-pack)</t>
  </si>
  <si>
    <t>BLACK CABINET KNOB</t>
  </si>
  <si>
    <t>Amerock Versa, 1-3/8" matte black. Sold as 10-pk $47.41 ($4.74 ea) OR singles $2.66 ea</t>
  </si>
  <si>
    <t>Fire table / fire pit CABINET DOOR hardware - the DARK knob (matte black). In use since Sep 2025 (10 singles), restocked Mar 2026 (10-pk). Customer-visible finish - do not substitute. ** CABINET HARDWARE NOT SOLIDIFIED (Christian, Aug 2026) - decide the standard set before optimizing anything. Selection is on FIT and FINISH QUALITY, not price. ** Current set: PRD-013 latch black nickel (dark) | PRD-017 latch nickel (light) | PRD-014 knob matte black (dark) | PRD-016 knob polished chrome (light) | PRD-015 knob champagne bronze (warm extra) | PRD-006 bullet hinge. Finishes must match the powder coat colorways sold.</t>
  </si>
  <si>
    <t>MET-020</t>
  </si>
  <si>
    <t>Cabinet knob, 1-3/8" (35mm) diameter, champagne bronze (10-pack)</t>
  </si>
  <si>
    <t>BRONZE CABINET KNOB</t>
  </si>
  <si>
    <t>Amerock Versa, 1-3/8" champagne bronze, 10-pk</t>
  </si>
  <si>
    <t>Fire table / fire pit CABINET DOOR hardware - WARM option (champagne bronze), outside the core dark/light pair. Bought alongside PRD-014 and PRD-016 on 2026-03-24 as a finish trial. ** CABINET HARDWARE NOT SOLIDIFIED (Christian, Aug 2026) - decide the standard set before optimizing anything. Selection is on FIT and FINISH QUALITY, not price. ** Current set: PRD-013 latch black nickel (dark) | PRD-017 latch nickel (light) | PRD-014 knob matte black (dark) | PRD-016 knob polished chrome (light) | PRD-015 knob champagne bronze (warm extra) | PRD-006 bullet hinge. Finishes must match the powder coat colorways sold.</t>
  </si>
  <si>
    <t>MET-021</t>
  </si>
  <si>
    <t>Cabinet knob, 1-3/8" (35mm) diameter, polished chrome (10-pack)</t>
  </si>
  <si>
    <t>CHROME CABINET KNOB</t>
  </si>
  <si>
    <t>Amerock Versa, 1-3/8" polished chrome. Sold as 10-pk $47.41 ($4.74 ea) OR singles $4.50 ea - SINGLES ARE CHEAPER</t>
  </si>
  <si>
    <t>Fire table / fire pit CABINET DOOR hardware - the LIGHT knob (polished chrome). Sold as 10-pk $47.41 ($4.74 ea) or singles $4.50 ea. In use since Sep 2025, restocked Mar 2026. CAUTION: polished chrome is a PLATED finish, not stainless - plating can pit outdoors in Phoenix sun where true stainless will not. ** CABINET HARDWARE NOT SOLIDIFIED (Christian, Aug 2026) - decide the standard set before optimizing anything. Selection is on FIT and FINISH QUALITY, not price. ** Current set: PRD-013 latch black nickel (dark) | PRD-017 latch nickel (light) | PRD-014 knob matte black (dark) | PRD-016 knob polished chrome (light) | PRD-015 knob champagne bronze (warm extra) | PRD-006 bullet hinge. Finishes must match the powder coat colorways sold.</t>
  </si>
  <si>
    <t>MET-022</t>
  </si>
  <si>
    <t>NICKEL CABINET LATCH</t>
  </si>
  <si>
    <t>Keenkee double roller catch, nickel, 8-pk</t>
  </si>
  <si>
    <t>The LIGHT latch (nickel) - pairs with PRD-016 polished chrome knob. Dark latch is PRD-013 (black nickel). 40 catches across 2 orders Sep 2025-Jan 2026. ** CABINET HARDWARE NOT SOLIDIFIED (Christian, Aug 2026) - decide the standard set before optimizing anything. Selection is on FIT and FINISH QUALITY, not price. ** Current set: PRD-013 latch black nickel (dark) | PRD-017 latch nickel (light) | PRD-014 knob matte black (dark) | PRD-016 knob polished chrome (light) | PRD-015 knob champagne bronze (warm extra) | PRD-006 bullet hinge. Finishes must match the powder coat colorways sold.</t>
  </si>
  <si>
    <t>MET-028</t>
  </si>
  <si>
    <t>Ipe / hardwood deck oil finish, semi-transparent natural, 250 VOC - 1 gallon</t>
  </si>
  <si>
    <t>WOOD ARM OIL STAIN FINISH</t>
  </si>
  <si>
    <t>DeckWise Ipe Oil, natural, 1 gal</t>
  </si>
  <si>
    <t>Formulated for ipe/dense tropical hardwood - ordinary deck stains will not penetrate. Seller: TheStainDepot. Department assumed Metal/Finishing - reassign if hardwood work sits elsewhere.</t>
  </si>
  <si>
    <t>MET-023</t>
  </si>
  <si>
    <t>CUTTING (METAL)</t>
  </si>
  <si>
    <t>shop rags (not metal)</t>
  </si>
  <si>
    <t>14" 66T Steel Circular Saw Blade</t>
  </si>
  <si>
    <t>METAL CUTTING BLADE</t>
  </si>
  <si>
    <t>cold-cut saw blade</t>
  </si>
  <si>
    <t>MET-025</t>
  </si>
  <si>
    <t>14" 80T TCT saw blade - ALUMINUM cutting, 1" arbor, max 1600 RPM</t>
  </si>
  <si>
    <t>ALUMINUM CUTTING BLADE</t>
  </si>
  <si>
    <t>Evolution 14BLADEAL</t>
  </si>
  <si>
    <t>Evolution Power Tools (direct)</t>
  </si>
  <si>
    <t>ALUMINUM blade - do not confuse with ABR-003 (14" 66T STEEL blade, Tempe Abrasives $121.95). Fits Evolution S14CPS/S15CPS/S355MCS/S355CPSL/S380CPS/EVOSAW380. Check whether Tempe Abrasives stocks this to consolidate vendor.</t>
  </si>
  <si>
    <t>MET-029</t>
  </si>
  <si>
    <t>FT</t>
  </si>
  <si>
    <t>Arizona: sold in 20' sticks (~$19.2/stick)</t>
  </si>
  <si>
    <t>MET-030</t>
  </si>
  <si>
    <t>Arizona: sold in 20' sticks (~$18.8/stick)</t>
  </si>
  <si>
    <t>DEL-010</t>
  </si>
  <si>
    <t>DELIVERY</t>
  </si>
  <si>
    <t>Touch-up bottle (brush applicator) - Black Texture TUB</t>
  </si>
  <si>
    <t>BLACK TOUCH UP BRUSH</t>
  </si>
  <si>
    <t>Diamond Vogel P/N 734169-01 · powder color code PLX2267-09</t>
  </si>
  <si>
    <t>BOTTLE</t>
  </si>
  <si>
    <t>Touch-up for PWD-002 Black Texture TGIC Polyester. Color code PLX2267-09. Price and min/max TBD - request from Diamond Vogel. NOTE: Diamond Vogel part numbers and color codes differ between powder, aerosol and touch-up bottle for the same color - match by COLOR NAME, not by code.</t>
  </si>
  <si>
    <t>MET-032</t>
  </si>
  <si>
    <t>Arizona: sold in 20' sticks (~$13.8/stick)</t>
  </si>
  <si>
    <t>MET-033</t>
  </si>
  <si>
    <t>Arizona: sold in 20' sticks (~$17.6/stick)</t>
  </si>
  <si>
    <t>MET-034</t>
  </si>
  <si>
    <t>Arizona: sold in 20' sticks (~$15.0/stick)</t>
  </si>
  <si>
    <t>MET-035</t>
  </si>
  <si>
    <t>Arizona: sold in 20' sticks (~$66.4/stick)</t>
  </si>
  <si>
    <t>MET-036</t>
  </si>
  <si>
    <t>Arizona: sold in 20' sticks (~$32.0/stick)</t>
  </si>
  <si>
    <t>MET-037</t>
  </si>
  <si>
    <t>Arizona: sold in 20' sticks (~$84.8/stick)</t>
  </si>
  <si>
    <t>MET-038</t>
  </si>
  <si>
    <t>Arizona: sold in 20' sticks (~$44.0/stick)</t>
  </si>
  <si>
    <t>MET-039</t>
  </si>
  <si>
    <t>Arizona: sold in 20' sticks (~$42.8/stick)</t>
  </si>
  <si>
    <t>MET-040</t>
  </si>
  <si>
    <t>Arizona: sold in 20' sticks (~$55.2/stick)</t>
  </si>
  <si>
    <t>MET-041</t>
  </si>
  <si>
    <t>Arizona: sold in 20' sticks (~$21.2/stick)</t>
  </si>
  <si>
    <t>MET-042</t>
  </si>
  <si>
    <t>Arizona: sold in 20' sticks (~$26.4/stick)</t>
  </si>
  <si>
    <t>MET-043</t>
  </si>
  <si>
    <t>Arizona: sold in 20' sticks (~$18.4/stick)</t>
  </si>
  <si>
    <t>MET-044</t>
  </si>
  <si>
    <t>Arizona: sold in 20' sticks (~$66.0/stick)</t>
  </si>
  <si>
    <t>SHEET</t>
  </si>
  <si>
    <t>sheet</t>
  </si>
  <si>
    <t>MET-046</t>
  </si>
  <si>
    <t>MET-047</t>
  </si>
  <si>
    <t>MET-048</t>
  </si>
  <si>
    <t>MET-049</t>
  </si>
  <si>
    <t>MET-050</t>
  </si>
  <si>
    <t>MET-051</t>
  </si>
  <si>
    <t>MET-052</t>
  </si>
  <si>
    <t>MET-053</t>
  </si>
  <si>
    <t>MET-054</t>
  </si>
  <si>
    <t>MET-055</t>
  </si>
  <si>
    <t>MET-056</t>
  </si>
  <si>
    <t>MET-057</t>
  </si>
  <si>
    <t>MET-058</t>
  </si>
  <si>
    <t>MET-059</t>
  </si>
  <si>
    <t>DEL-005</t>
  </si>
  <si>
    <t>Touch-up aerosol spray - Black Texture</t>
  </si>
  <si>
    <t>BLACK TOUCH UP SPRAY</t>
  </si>
  <si>
    <t>Diamond Vogel P/N 734169 · powder color code PLX2267-09</t>
  </si>
  <si>
    <t>CAN</t>
  </si>
  <si>
    <t>DEL-012</t>
  </si>
  <si>
    <t>Touch-up bottle (brush applicator) - Deck Clay TUB</t>
  </si>
  <si>
    <t>BONE TOUCH UP BRUSH</t>
  </si>
  <si>
    <t>Touch-up for PWD-006 Deck Clay Texture S/G TGIC Polyester (ET-0382). ** NO PART NUMBER YET - request from Diamond Vogel. ** Every powder coat sold needs a matching aerosol and touch-up bottle. NOTE: DV part numbers and color codes differ between powder, aerosol and touch-up bottle for the same color - match by COLOR NAME, not by code.</t>
  </si>
  <si>
    <t>DEL-004</t>
  </si>
  <si>
    <t>Touch-up aerosol spray - Deck Clay</t>
  </si>
  <si>
    <t>BONE TOUCH UP SPRAY</t>
  </si>
  <si>
    <t>Diamond Vogel P/N 734168 · powder color code ET-0382</t>
  </si>
  <si>
    <t>Touch-up for PWD-006 Deck Clay Texture S/G TGIC Polyester. Color code ET-0382. Price and min/max TBD - request from Diamond Vogel. NOTE: Diamond Vogel part numbers and color codes differ between powder, aerosol and touch-up bottle for the same color - match by COLOR NAME, not by code.</t>
  </si>
  <si>
    <t>DEL-011</t>
  </si>
  <si>
    <t>Touch-up bottle (brush applicator) - Oil Rub Bronze TUB</t>
  </si>
  <si>
    <t>BRONZE TOUCH UP BRUSH</t>
  </si>
  <si>
    <t>Diamond Vogel P/N ICM8-122708-01 · powder color code ET26-49540</t>
  </si>
  <si>
    <t>Touch-up for PWD-003 Oil Rub Bronze M/C TGIC Polyester. Color code ET26-49540. Price and min/max TBD - request from Diamond Vogel. NOTE: Diamond Vogel part numbers and color codes differ between powder, aerosol and touch-up bottle for the same color - match by COLOR NAME, not by code.</t>
  </si>
  <si>
    <t>DEL-007</t>
  </si>
  <si>
    <t>Touch-up aerosol spray - Oil Rub Bronze</t>
  </si>
  <si>
    <t>BRONZE TOUCH UP SPRAY</t>
  </si>
  <si>
    <t>Diamond Vogel P/N ICM8-122708-13 · powder color code ET26-49540</t>
  </si>
  <si>
    <t>DEL-015</t>
  </si>
  <si>
    <t>Work gloves, PU-coated palm, touchscreen, gray, size LARGE (12-pair pack)</t>
  </si>
  <si>
    <t>DELIVERY GLOVES</t>
  </si>
  <si>
    <t>Kebada W1, large, 12-pr</t>
  </si>
  <si>
    <t>** REVIEW ** - glove choice not finalised; Christian to assess whether Kebada W1 is the best option (cut resistance, durability). ~$1.45/pair. High burn: 36 pair in 3 weeks Nov-Dec 2025. SIZE: Large only in the data - confirm whether M/XL are also needed (separate rows; loose gloves near a grinder are a hazard).</t>
  </si>
  <si>
    <t>DEL-001</t>
  </si>
  <si>
    <t>FELT PADS</t>
  </si>
  <si>
    <t>Smart Surface 8727, ASIN B00KM9T6B8</t>
  </si>
  <si>
    <t>Applied at delivery to protect customer surfaces.</t>
  </si>
  <si>
    <t>DEL-009</t>
  </si>
  <si>
    <t>Touch-up bottle (brush applicator) - Fanuc Gray TUB</t>
  </si>
  <si>
    <t>GRAY TOUCH UP BRUSH</t>
  </si>
  <si>
    <t>Diamond Vogel P/N 734167-01 · powder color code ET03-43716</t>
  </si>
  <si>
    <t>Touch-up for PWD-001 Fanuc Gray Texture TGIC Polyester. Color code ET03-43716. Price and min/max TBD - request from Diamond Vogel. NOTE: Diamond Vogel part numbers and color codes differ between powder, aerosol and touch-up bottle for the same color - match by COLOR NAME, not by code.</t>
  </si>
  <si>
    <t>DEL-003</t>
  </si>
  <si>
    <t>Touch-up aerosol spray - Fanuc Gray</t>
  </si>
  <si>
    <t>GRAY TOUCH UP SPRAY</t>
  </si>
  <si>
    <t>Diamond Vogel P/N 734167 · powder color code ET03-43716</t>
  </si>
  <si>
    <t>DEL-014</t>
  </si>
  <si>
    <t>Touch-up bottle (brush applicator) - Lite Beige TUB</t>
  </si>
  <si>
    <t>LITE BEIGE TOUCH UP BRUSH</t>
  </si>
  <si>
    <t>Touch-up for PWD-007 Lite Beige Tex. S/D TGIC Polyester (ET03-48091). ** NO PART NUMBER YET - request from Diamond Vogel. ** Every powder coat sold needs a matching aerosol and touch-up bottle. NOTE: DV part numbers and color codes differ between powder, aerosol and touch-up bottle for the same color - match by COLOR NAME, not by code.</t>
  </si>
  <si>
    <t>DEL-008</t>
  </si>
  <si>
    <t>Touch-up aerosol spray - Lite Beige</t>
  </si>
  <si>
    <t>LITE BEIGE TOUCH UP SPRAY</t>
  </si>
  <si>
    <t>DEL-002</t>
  </si>
  <si>
    <t>SWING ROPE</t>
  </si>
  <si>
    <t>GINEE 10mm x 35ft static rope w/ carabiner</t>
  </si>
  <si>
    <t>USE: custom swings. Includes carabiner. See PRD-011 (Aoneky 10mm x 32ft, no carabiner, $13.57) - confirm whether PRD-011 replaces this or both are stocked.</t>
  </si>
  <si>
    <t>DEL-013</t>
  </si>
  <si>
    <t>Touch-up bottle (brush applicator) - Wild Rice TUB</t>
  </si>
  <si>
    <t>WHITE TOUCH UP BRUSH</t>
  </si>
  <si>
    <t>Touch-up for PWD-005 Wild Rice Texture TGIC Polyester. ** NO PART NUMBER YET - request from Diamond Vogel. ** Every powder coat sold needs a matching aerosol and touch-up bottle. NOTE: DV part numbers and color codes differ between powder, aerosol and touch-up bottle for the same color - match by COLOR NAME, not by code.</t>
  </si>
  <si>
    <t>DEL-006</t>
  </si>
  <si>
    <t>Touch-up aerosol spray - Wild Rice Bake Enamel</t>
  </si>
  <si>
    <t>WHITE TOUCH UP SPRAY</t>
  </si>
  <si>
    <t>Diamond Vogel P/N ICM101-10027-13 · powder color code PLX2102-02</t>
  </si>
  <si>
    <t>Touch-up for PWD-005 Wild Rice Texture TGIC Polyester. Color code PLX2102-02. Price and min/max TBD - request from Diamond Vogel. NOTE: Diamond Vogel part numbers and color codes differ between powder, aerosol and touch-up bottle for the same color - match by COLOR NAME, not by code.</t>
  </si>
  <si>
    <t>MET-031</t>
  </si>
  <si>
    <t>Arizona: sold in 20' sticks (~$24.2/stick)</t>
  </si>
  <si>
    <t>MET-026</t>
  </si>
  <si>
    <t>GRINDING</t>
  </si>
  <si>
    <t>MAKITA ANGLE GRINDER</t>
  </si>
  <si>
    <t>Makita 9557NB2, 2-pack</t>
  </si>
  <si>
    <t>One spare 2-pack on the shelf. 4 grinders bought May-Jun 2026 across 2 orders. ~$99.50 each.</t>
  </si>
  <si>
    <t>MET-087</t>
  </si>
  <si>
    <t>3M 769F Silver Flap Disc 4-1/2" x 7/8" 40+ TY27</t>
  </si>
  <si>
    <t>FLAP DISCS</t>
  </si>
  <si>
    <t>abrasive flap disc</t>
  </si>
  <si>
    <t>MET-073</t>
  </si>
  <si>
    <t>POWDER COAT</t>
  </si>
  <si>
    <t>BLACK POWDER</t>
  </si>
  <si>
    <t>powder-coat topcoat</t>
  </si>
  <si>
    <t>MET-074</t>
  </si>
  <si>
    <t>BONE POWDER</t>
  </si>
  <si>
    <t>MET-075</t>
  </si>
  <si>
    <t>FANUC GRAY POWDER</t>
  </si>
  <si>
    <t>MET-076</t>
  </si>
  <si>
    <t>GRAY ZINC EPOXY PRIMER</t>
  </si>
  <si>
    <t>epoxy primer</t>
  </si>
  <si>
    <t>MET-077</t>
  </si>
  <si>
    <t>LITE BEIGE POWDER</t>
  </si>
  <si>
    <t>MET-078</t>
  </si>
  <si>
    <t>OIL RUB BRONZE POWDER</t>
  </si>
  <si>
    <t>MET-079</t>
  </si>
  <si>
    <t>WILD RICE POWDER</t>
  </si>
  <si>
    <t>MET-080</t>
  </si>
  <si>
    <t>METAL WIRE FOR HANGING FRAMES</t>
  </si>
  <si>
    <t>Zeluga 23-266, 16 ga black annealed, 360 ft</t>
  </si>
  <si>
    <t>USE: hanging frames on the powder coat line (Christian, Aug 2026). Oldest recurring item in the Amazon data - first bought 2025-08-14. 3 coils across 2 orders.</t>
  </si>
  <si>
    <t>MET-081</t>
  </si>
  <si>
    <t>High temp silicone tapered masking plugs, 1/4" x 3/8" (50-pc kit)</t>
  </si>
  <si>
    <t>HIGH TEMP SILICONE TAPERED MASKING PLUGS</t>
  </si>
  <si>
    <t>High Temp Masking Supply, 1/4 x 3/8 tapered silicone plug, 50-pc</t>
  </si>
  <si>
    <t>High Temp Masking Supply LLC</t>
  </si>
  <si>
    <t>KIT</t>
  </si>
  <si>
    <t>** ADDRESS - LIKELY SUPERSEDED (Christian, Aug 2026): 'I think they standardized another one.' This 1/4" x 3/8" tapered silicone plug may no longer be the plug in use - confirm the current standard size/type before treating this as a live reorder row. ** Masks threaded holes/openings through powder coat cure so powder does not fill threads; pulls out after. Pairs with CON-064 tie wire on the powder coat line. 250 plugs bought 2025-08-14 (oldest order in the Amazon data) and never repurchased - consistent with a switch. Also confirm whether multiple hole sizes need their own plug rows.</t>
  </si>
  <si>
    <t>MET-093</t>
  </si>
  <si>
    <t>PPE</t>
  </si>
  <si>
    <t>DISPOSABLE RESPIRATOR MASKS N95</t>
  </si>
  <si>
    <t>3M 8210V Cool Flow, 80-pack, ASIN B00K0C3P64</t>
  </si>
  <si>
    <t>NIOSH N95. ~$1.51 each. Shared PPE - Metal grinding + Dekton cutting. ~240/yr (3 packs). Size family: 10-box B084747952, 160-pack B0843JWN3K (price-check the 160 vs two 80s).</t>
  </si>
  <si>
    <t>MET-094</t>
  </si>
  <si>
    <t>REUSABLE HALF MASK RESPIRATOR (MASK)</t>
  </si>
  <si>
    <t>GVS SPR457 Elipse P100, ASIN B013SIIBFQ</t>
  </si>
  <si>
    <t>P100 (oil-proof, 99.97%) - use for Dekton cutting / silica dust; disposable N95 PPE-001 for general grinding. Filters = PPE-003. S/M size is SPR451 B013SIIBME if a smaller fit is needed. 4 masks in service as of May 2026.</t>
  </si>
  <si>
    <t>MET-095</t>
  </si>
  <si>
    <t>P100 replacement filters for Elipse half mask (8-pack)</t>
  </si>
  <si>
    <t>HALF MASK RESPIRATOR REPLACEMENTS</t>
  </si>
  <si>
    <t>SPR321-compatible P100 filter, 8-pack (WUYIZHEHAO). Fits GVS Elipse SPR451/457/449/456, S/M and M/L</t>
  </si>
  <si>
    <t>CONSUMABLE partner to PPE-002 mask (mask is durable, filters are not). ~$3.75/filter. Bought 2026-05-14 (8 filters) - 6 days before the second mask order, so filters ARE being maintained. Min 1 / max 2 packs = 8-16 filters on hand, covering 4 masks through 2-4 change cycles. ** PRICING: this is a third-party SPR321-compatible filter. Compare against genuine GVS SPR321 on cost-per-filter and fit before standardizing - a filter that seals poorly defeats a P100 mask. **</t>
  </si>
  <si>
    <t>MET-096</t>
  </si>
  <si>
    <t>Safety glasses, clear, OVER-THE-GLASSES (OTG), ANSI Z87.1 (12-pack)</t>
  </si>
  <si>
    <t>SAFETY GLASSES</t>
  </si>
  <si>
    <t>SATTRON clear OTG safety glasses, 12-pk</t>
  </si>
  <si>
    <t>OTG = fits OVER prescription glasses - do NOT substitute standard safety glasses. ANSI Z87.1 impact rated. 60 pairs bought Jun 2026 in the shop-wide PPE restock. Standard-fit counterpart is PPE-008. ** REVIEW - safety glasses are not selected on price; evaluate build quality across both rows. **</t>
  </si>
  <si>
    <t>MET-097</t>
  </si>
  <si>
    <t>Ear plugs, disposable foam, uncorded, 33 NRR (bottle of 500 pair)</t>
  </si>
  <si>
    <t>EAR PLUGS</t>
  </si>
  <si>
    <t>3M E-A-Rsoft Yellow Neons 391-1004, regular size</t>
  </si>
  <si>
    <t>33 NRR - highest rating for foam plugs. ~$0.11/pair, truly disposable (daily use) unlike issued ear muffs. Part of the Jun 2026 shop-wide PPE restock.</t>
  </si>
  <si>
    <t>MET-027</t>
  </si>
  <si>
    <t>SANDBLAST</t>
  </si>
  <si>
    <t>Drill bit, 5/16", titanium nitride coated M2 HSS, hex shank (6-pack)</t>
  </si>
  <si>
    <t>5/16 DRILL BIT FOR HANGING FRAMES</t>
  </si>
  <si>
    <t>Drill Hulk 5/16 TiN hex shank, 6-pk</t>
  </si>
  <si>
    <t>USE: 5/16" is the IMPACT DRIVER size (hex shank). Christian, Aug 2026: 'we use 5/16 for impact and 9/16 for drill.' ** DRILL BIT PROGRAM NEEDS REVIEW - see follow-ups ** No 9/16" row exists yet, and the Makita multi-purpose bits were dropped in favour of Milwaukee with no Milwaukee row created. ~$3.81/bit. Min/max provisional, based on the Jan 2026 buy of 2 packs.</t>
  </si>
  <si>
    <t>MET-072</t>
  </si>
  <si>
    <t>RIVET GUN</t>
  </si>
  <si>
    <t>EROSHAK air rivet nut gun, ASIN B0B5TQLKQG</t>
  </si>
  <si>
    <t>One spare kept on the shelf. Sets the FAS-001 rivet nuts (5/16-18, Cardinal Components).</t>
  </si>
  <si>
    <t>MET-085</t>
  </si>
  <si>
    <t>Steel Shot (blast media)</t>
  </si>
  <si>
    <t>STEEL SHOT</t>
  </si>
  <si>
    <t>specs &amp; pricing TBD — sourced from Tempe Abrasives (per Christian)</t>
  </si>
  <si>
    <t>MET-086</t>
  </si>
  <si>
    <t>Rivet Nut 5/16-18 Round w/Knurl, Flat Head, Open-End (Zinc Yellow)</t>
  </si>
  <si>
    <t>RIVNUT 5/16-18</t>
  </si>
  <si>
    <t>threaded insert / rivet nut · used at the sand-blast station (per Christian) · GR .027-.150</t>
  </si>
  <si>
    <t>MET-088</t>
  </si>
  <si>
    <t>SCUFF PADS</t>
  </si>
  <si>
    <t>S SATC 6x9 maroon scuff pad, 10-pk</t>
  </si>
  <si>
    <t>Surface prep abrasive (~320-400 grit equiv) - scuffing metal for coating adhesion. 60 pads across 3 orders Jan-Jul 2026. Powder coat prep use to be confirmed.</t>
  </si>
  <si>
    <t>MET-060</t>
  </si>
  <si>
    <t>WELDING</t>
  </si>
  <si>
    <t>welding supply</t>
  </si>
  <si>
    <t>MET-061</t>
  </si>
  <si>
    <t>welding gas</t>
  </si>
  <si>
    <t>MET-062</t>
  </si>
  <si>
    <t>MET-063</t>
  </si>
  <si>
    <t>MET-064</t>
  </si>
  <si>
    <t>MET-065</t>
  </si>
  <si>
    <t>MET-066</t>
  </si>
  <si>
    <t>MET-067</t>
  </si>
  <si>
    <t>MET-068</t>
  </si>
  <si>
    <t>MET-069</t>
  </si>
  <si>
    <t>MET-070</t>
  </si>
  <si>
    <t>MET-071</t>
  </si>
  <si>
    <t>MILWAUKEE TAPE MEASURE</t>
  </si>
  <si>
    <t>Milwaukee 48-22-7125, 2-pack</t>
  </si>
  <si>
    <t>Seller: U3J. Replacement item - 6 tapes across 2 orders Feb &amp; Aug 2026. Tapes walk off / break; spares on the shelf keep measuring accurate.</t>
  </si>
  <si>
    <t>MET-082</t>
  </si>
  <si>
    <t>DRIVERS GLOVES LARGE</t>
  </si>
  <si>
    <t>PR</t>
  </si>
  <si>
    <t>MET-083</t>
  </si>
  <si>
    <t>DRIVERS GLOVES MEDIUM</t>
  </si>
  <si>
    <t>MET-084</t>
  </si>
  <si>
    <t>Half mask respirator, welding, P100 with odor relief, size M/L</t>
  </si>
  <si>
    <t>Miller LPR-100, ML00995, M/L</t>
  </si>
  <si>
    <t>** REVIEW WITH TEAM ** - purpose not yet confirmed. WELDING respirator: P100 + carbon odor-relief layer for weld fume, vs PPE-002 (GVS Elipse P100) which is particulate-only for Dekton/silica dust. Both bought 2026-04-13 as a comparison: 1 Miller vs 4 GVS. DECIDE: is the Miller the weld-station standard (keep + set real min/max) or a rejected trial (retire this row)? Min/max are placeholders.</t>
  </si>
  <si>
    <t>MET-089</t>
  </si>
  <si>
    <t>Bullet hinge, weld-on, 4" aluminum, stainless bushing &amp; pin, Zerk grease fitting (20-pack)</t>
  </si>
  <si>
    <t>ALUMINUM WELD ON HINGE 4"</t>
  </si>
  <si>
    <t>LavaLock 4" weld-on bullet hinge, 20-pack</t>
  </si>
  <si>
    <t>Seller: Island Outdoor, LLC. ~$5.78/hinge. 60 hinges consumed Jun-Jul 2026 across 3 orders - watch usage, min may need to rise. ** DISCUSS WITH TEAM: door hardware needs a dark option and a light/stainless option across the set to match different powder coat colors - confirm what finishes this hinge is available in (currently aluminum/stainless pin).</t>
  </si>
  <si>
    <t>MET-090</t>
  </si>
  <si>
    <t>STEEL WELD ON HINGE</t>
  </si>
  <si>
    <t>Bullet Hinge</t>
  </si>
  <si>
    <t>weld on 4" steel hinge</t>
  </si>
  <si>
    <t>Blackstar Abrasives</t>
  </si>
  <si>
    <t>MET-091</t>
  </si>
  <si>
    <t>WD-40 Classic multi-use lubricant / rust protectant, 12 oz (12-pack case)</t>
  </si>
  <si>
    <t>WD40 WELDERS</t>
  </si>
  <si>
    <t>WD-40 Classic Formula, 12 oz, 12-pk</t>
  </si>
  <si>
    <t>~$8.04/can. Shop-wide use (Metal + Delivery). One case ~= a year's supply.</t>
  </si>
  <si>
    <t>MET-092</t>
  </si>
  <si>
    <t xml:space="preserve">MILWAUKEE MARKERS </t>
  </si>
  <si>
    <t>Milwaukee 48-22-3100 INKZALL fine point, 36-pk</t>
  </si>
  <si>
    <t>Jobsite marker - writes on rough/dusty/wet surfaces where a standard marker skips. Permanent ink; do NOT use on cushion fabric (see SEW-039 for erasable fabric markers). 120 markers across 4 orders Sep 2025-May 2026. Also sold as a 12-pk (48-22-3104) at $17.25. SELLERS: SOUTH AVE EAST LLC $34.00 (May 2026, cheapest) vs 'customer first choice' $37.50 - buy the $34 listing. STANDARD MARKER (Christian, Aug 2026) - Milwaukee INKZALL is the go-to; do not substitute Sharpie.</t>
  </si>
  <si>
    <t>OFF-006</t>
  </si>
  <si>
    <t>OFFICE/FACILITY</t>
  </si>
  <si>
    <t>ALL PURPOSE CLEANER</t>
  </si>
  <si>
    <t>Fabuloso Professional all purpose cleaner/degreaser, 1 gal</t>
  </si>
  <si>
    <t>Concentrate - floors, benches, general shop cleanup. 2 gallons Aug-Dec 2025.</t>
  </si>
  <si>
    <t>OFF-013</t>
  </si>
  <si>
    <t>Simple Green all purpose cleaner concentrate, 64 oz</t>
  </si>
  <si>
    <t>Concentrate - stocked alongside JAN-005 Fabuloso, JAN-007 bleach, JAN-010 wipes, JAN-011 spray. 2 orders.</t>
  </si>
  <si>
    <t>OFF-008</t>
  </si>
  <si>
    <t>Germicidal bleach, commercial (carton of 3)</t>
  </si>
  <si>
    <t>BLEACH</t>
  </si>
  <si>
    <t>Clorox CLO32429CT germicidal bleach, 3/carton</t>
  </si>
  <si>
    <t>CARTON</t>
  </si>
  <si>
    <t>Restroom and general disinfection. Stocked alongside JAN-005 all-purpose cleaner. Seller: Shoplet.</t>
  </si>
  <si>
    <t>OFF-004</t>
  </si>
  <si>
    <t>CLEANING RAGS</t>
  </si>
  <si>
    <t>FIXSMITH microfiber cloth, 50-pk</t>
  </si>
  <si>
    <t>General shop use - kept on hand across departments. Lint-free/streak-free, also suitable for final wipe-down of Dekton tops and powder-coated frames before packing. 250 cloths across 4 orders Nov 2025-Jul 2026.</t>
  </si>
  <si>
    <t>Office Supplies</t>
  </si>
  <si>
    <t>COPY PAPER</t>
  </si>
  <si>
    <t>Amazon Basics multipurpose copy paper. 10-ream case $46.99 ($4.70/ream) = BEST BUY; 8-ream $39.97 ($5.00/ream); 5-ream $29.47 ($5.89/ream) = worst</t>
  </si>
  <si>
    <t>PRODUCTION-CRITICAL office supply - all factory order packets, department sheets and delivery checklists print on this. BUY THE 10-REAM CASE: $4.70/ream vs $5.00 (8-ream) vs $5.50-5.89 (5-ream). 7 cases since Oct 2025 (~1 case/quarter). Five Amazon listing lines merged here. First OFF-prefix row.</t>
  </si>
  <si>
    <t>OFF-012</t>
  </si>
  <si>
    <t>DISENFECTANT CLEANER</t>
  </si>
  <si>
    <t>CloroxPro Clorox Clean-Up 35417, 32 oz spray</t>
  </si>
  <si>
    <t>Ready-to-use spray counterpart to JAN-007 bleach concentrate and JAN-010 wipes. 3 bottles Aug-Dec 2025.</t>
  </si>
  <si>
    <t>OFF-009</t>
  </si>
  <si>
    <t>Dish soap / degreaser, heavy duty manual pot &amp; pan, 1 gallon (case of 2)</t>
  </si>
  <si>
    <t>DISH SOAP</t>
  </si>
  <si>
    <t>Dawn Professional heavy duty, 1 gal, 2/case</t>
  </si>
  <si>
    <t>Stocked alongside JAN-005 and JAN-007. Also usable as a degreaser for cutting oil off metal before coating - confirm whether the shop uses it that way.</t>
  </si>
  <si>
    <t>OFF-011</t>
  </si>
  <si>
    <t>DISINFECTING WIPES</t>
  </si>
  <si>
    <t>Lysol disinfecting wipes bundle, multi-scent</t>
  </si>
  <si>
    <t>General facility cleaning - stocked alongside JAN-005 all-purpose cleaner and JAN-007 bleach. 2 bundles Aug-Dec 2025.</t>
  </si>
  <si>
    <t>OFF-010</t>
  </si>
  <si>
    <t>Liquid hand soap refill, 33 oz</t>
  </si>
  <si>
    <t>HAND SOAP REFILL</t>
  </si>
  <si>
    <t>Mrs. Meyer's Clean Day liquid hand soap refill, lemon verbena, 33 oz</t>
  </si>
  <si>
    <t>Restroom hand soap refill - stocked on the same basis as JAN-001 hand towels and JAN-002 bath tissue. 3 refills bought Nov 2025.</t>
  </si>
  <si>
    <t>OFF-002</t>
  </si>
  <si>
    <t>HAND TOWELS FOR BATHROOM</t>
  </si>
  <si>
    <t>Tork RB8002 Universal, for H21 dispensers</t>
  </si>
  <si>
    <t>DISPENSER-LOCKED: Tork H21 system - folded/multifold towels will not fit. ~1 case per 6 weeks (7 cases Nov 2025-Jul 2026 across 5 orders).</t>
  </si>
  <si>
    <t>OFF-015</t>
  </si>
  <si>
    <t>Label tape, P-touch TZe, 1/2" (12mm) laminated, BLACK ON WHITE</t>
  </si>
  <si>
    <t>LABEL TAPE</t>
  </si>
  <si>
    <t>Brother TZe-231 (black on white). SUPERSEDES TZE-MQG35 white-on-lime-green</t>
  </si>
  <si>
    <t>COLOR CHANGED to white (Christian, Aug 2026) - lime green TZE-MQG35 discontinued in-house. Laminated, water-resistant, indoor/outdoor. Used for bin/rack/station labeling. Price shown is the lime green price - confirm TZe-231 pricing.</t>
  </si>
  <si>
    <t>OFF-007</t>
  </si>
  <si>
    <t>Scrub sponges, non-scratch cellulose, dual-sided (12-pack)</t>
  </si>
  <si>
    <t>SPONGES</t>
  </si>
  <si>
    <t>MR.SIGA non-scratch cellulose scrub sponge, 12-pk</t>
  </si>
  <si>
    <t>One pack kept on the shelf. NON-SCRATCH - safe on finished surfaces as well as kitchen use. 3 packs bought Nov 2025.</t>
  </si>
  <si>
    <t>OFF-014</t>
  </si>
  <si>
    <t>Toilet bowl cleaner, max strength</t>
  </si>
  <si>
    <t>TOILET BOWL CLEANER</t>
  </si>
  <si>
    <t>Lysol toilet bowl cleaner, max strength</t>
  </si>
  <si>
    <t>Restroom cleaning - stocked with the other JAN cleaners.</t>
  </si>
  <si>
    <t>OFF-003</t>
  </si>
  <si>
    <t>TOILET PAPER FOR BATHROOM</t>
  </si>
  <si>
    <t>AmazonCommercial 2-ply jumbo roll (standard). 12-pk $44.41; alt pack SKU 416972 $33.83. Sub: Genuine Joe GJO2506008 8-pk</t>
  </si>
  <si>
    <t>DISPENSER-LOCKED: jumbo roll only - standard rolls will not fit. STANDARDIZED on AmazonCommercial - house standard since Sep 2025 (Genuine Joe was the outlier). Two pack SKUs seen: 12-pk $44.41 and 416972 $33.83; Genuine Joe 8-pk is an acceptable sub. ~1 pack per 6 weeks.</t>
  </si>
  <si>
    <t>OFF-005</t>
  </si>
  <si>
    <t>Trash bags, heavy duty, 95-96 gallon liners (50 count)</t>
  </si>
  <si>
    <t>TRASH BAGS</t>
  </si>
  <si>
    <t>Mini n Mod 95-96 gal heavy duty liner, 50 ct</t>
  </si>
  <si>
    <t>50-CT</t>
  </si>
  <si>
    <t>~$0.84/bag. Fits large commercial rolling bins. One box bought Mar 2026.</t>
  </si>
  <si>
    <t>OFF-016</t>
  </si>
  <si>
    <t>Label rolls, 1-1/8" x 3-1/2" address/shipping/barcode, WHITE (6 rolls / 2,100 labels)</t>
  </si>
  <si>
    <t>WHITE LABEL ROLLS</t>
  </si>
  <si>
    <t>Dymo 30252 compatible, WHITE - fits Dymo LabelWriter &amp; Rollo. Supersedes enKo yellow</t>
  </si>
  <si>
    <t>COLOR CHANGED to white (Christian, Aug 2026) - same call as CON-060 label tape; yellow discontinued in-house. Thermal printer labels - distinct from CON-060 (handheld P-touch tape for bins/racks). 4,200 labels across 2 orders Nov 2025-Mar 2026. Price shown is the yellow price - confirm white pricing. Min/max matched to CON-060.</t>
  </si>
  <si>
    <t>SEW-043</t>
  </si>
  <si>
    <t>BLACK VELCRO 1" HOOK</t>
  </si>
  <si>
    <t>SEW-044</t>
  </si>
  <si>
    <t>BLACK VELCRO 1" LOOP</t>
  </si>
  <si>
    <t>SEW-045</t>
  </si>
  <si>
    <t>BEAVER VELCRO 1" HOOK</t>
  </si>
  <si>
    <t>SEW-046</t>
  </si>
  <si>
    <t>BEAVER VELCRO 1" LOOP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</si>
</sst>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0.00"/>
    <numFmt numFmtId="166" formatCode="\$#,##0.0000"/>
    <numFmt numFmtId="167" formatCode="0.0"/>
    <numFmt numFmtId="168" formatCode="&quot;$&quot;#,##0.00"/>
  </numFmts>
  <fonts count="22">
    <font>
      <sz val="11.0"/>
      <color theme="1"/>
      <name val="Calibri"/>
      <scheme val="minor"/>
    </font>
    <font>
      <b/>
      <sz val="20.0"/>
      <color rgb="FF1F3A5F"/>
      <name val="Arial"/>
    </font>
    <font>
      <sz val="11.0"/>
      <color rgb="FF595959"/>
      <name val="Arial"/>
    </font>
    <font>
      <i/>
      <sz val="9.0"/>
      <color rgb="FF808080"/>
      <name val="Arial"/>
    </font>
    <font>
      <b/>
      <sz val="13.0"/>
      <color rgb="FF1F3A5F"/>
      <name val="Arial"/>
    </font>
    <font>
      <sz val="10.0"/>
      <color theme="1"/>
      <name val="Arial"/>
    </font>
    <font>
      <b/>
      <sz val="16.0"/>
      <color rgb="FF1F3A5F"/>
      <name val="Calibri"/>
    </font>
    <font>
      <b/>
      <sz val="11.0"/>
      <color rgb="FFFFFFFF"/>
      <name val="Arial"/>
    </font>
    <font>
      <b/>
      <sz val="10.0"/>
      <color rgb="FF2E5C8A"/>
      <name val="Arial"/>
    </font>
    <font>
      <i/>
      <sz val="10.0"/>
      <color rgb="FF555555"/>
      <name val="Calibri"/>
    </font>
    <font>
      <sz val="10.0"/>
      <color theme="1"/>
      <name val="Calibri"/>
    </font>
    <font>
      <b/>
      <sz val="11.0"/>
      <color rgb="FF1F3A5F"/>
      <name val="Calibri"/>
    </font>
    <font>
      <sz val="11.0"/>
      <color theme="1"/>
      <name val="Calibri"/>
    </font>
    <font>
      <b/>
      <sz val="10.0"/>
      <color theme="1"/>
      <name val="Arial"/>
    </font>
    <font>
      <b/>
      <sz val="14.0"/>
      <color rgb="FFFFFFFF"/>
      <name val="Calibri"/>
    </font>
    <font/>
    <font>
      <i/>
      <sz val="9.0"/>
      <color rgb="FF444444"/>
      <name val="Calibri"/>
    </font>
    <font>
      <b/>
      <sz val="9.0"/>
      <color rgb="FFFFFFFF"/>
      <name val="Calibri"/>
    </font>
    <font>
      <sz val="9.0"/>
      <color theme="1"/>
      <name val="Calibri"/>
    </font>
    <font>
      <b/>
      <sz val="10.0"/>
      <color rgb="FF000000"/>
      <name val="Arial"/>
    </font>
    <font>
      <b/>
      <sz val="9.0"/>
      <color theme="1"/>
      <name val="Calibri"/>
    </font>
    <font>
      <color theme="1"/>
      <name val="Calibri"/>
      <scheme val="minor"/>
    </font>
  </fonts>
  <fills count="9">
    <fill>
      <patternFill patternType="none"/>
    </fill>
    <fill>
      <patternFill patternType="lightGray"/>
    </fill>
    <fill>
      <patternFill patternType="solid">
        <fgColor rgb="FF305496"/>
        <bgColor rgb="FF305496"/>
      </patternFill>
    </fill>
    <fill>
      <patternFill patternType="solid">
        <fgColor rgb="FFFFF6CC"/>
        <bgColor rgb="FFFFF6CC"/>
      </patternFill>
    </fill>
    <fill>
      <patternFill patternType="solid">
        <fgColor rgb="FFEDEDED"/>
        <bgColor rgb="FFEDEDED"/>
      </patternFill>
    </fill>
    <fill>
      <patternFill patternType="solid">
        <fgColor rgb="FF1F3A5F"/>
        <bgColor rgb="FF1F3A5F"/>
      </patternFill>
    </fill>
    <fill>
      <patternFill patternType="solid">
        <fgColor rgb="FF2C4A6E"/>
        <bgColor rgb="FF2C4A6E"/>
      </patternFill>
    </fill>
    <fill>
      <patternFill patternType="solid">
        <fgColor rgb="FFE2EFDA"/>
        <bgColor rgb="FFE2EFDA"/>
      </patternFill>
    </fill>
    <fill>
      <patternFill patternType="solid">
        <fgColor rgb="FFFFF2CC"/>
        <bgColor rgb="FFFFF2CC"/>
      </patternFill>
    </fill>
  </fills>
  <borders count="12">
    <border/>
    <border>
      <left style="thin">
        <color rgb="FFBFBFBF"/>
      </left>
      <right style="thin">
        <color rgb="FFBFBFBF"/>
      </right>
      <top style="thin">
        <color rgb="FFBFBFBF"/>
      </top>
      <bottom/>
    </border>
    <border>
      <left style="thin">
        <color rgb="FFBFBFBF"/>
      </left>
      <right style="thin">
        <color rgb="FFBFBFBF"/>
      </right>
      <top/>
      <bottom/>
    </border>
    <border>
      <left style="thin">
        <color rgb="FFD9D9D9"/>
      </left>
      <right style="thin">
        <color rgb="FFD9D9D9"/>
      </right>
      <top style="thin">
        <color rgb="FFD9D9D9"/>
      </top>
      <bottom style="medium">
        <color rgb="FF7F7F7F"/>
      </bottom>
    </border>
    <border>
      <left/>
      <right/>
      <top/>
      <bottom/>
    </border>
    <border>
      <left style="thin">
        <color rgb="FFD9D9D9"/>
      </left>
      <right style="thin">
        <color rgb="FFD9D9D9"/>
      </right>
      <top style="medium">
        <color rgb="FF7F7F7F"/>
      </top>
      <bottom style="medium">
        <color rgb="FF7F7F7F"/>
      </bottom>
    </border>
    <border>
      <left style="thin">
        <color rgb="FFD9D9D9"/>
      </left>
      <right style="thin">
        <color rgb="FFD9D9D9"/>
      </right>
      <top style="medium">
        <color rgb="FF305496"/>
      </top>
      <bottom style="medium">
        <color rgb="FF7F7F7F"/>
      </bottom>
    </border>
    <border>
      <left/>
      <top/>
      <bottom/>
    </border>
    <border>
      <top/>
      <bottom/>
    </border>
    <border>
      <right/>
      <top/>
      <bottom/>
    </border>
    <border>
      <left style="thin">
        <color rgb="FFBFBFBF"/>
      </left>
      <right style="thin">
        <color rgb="FFBFBFBF"/>
      </right>
      <top style="thin">
        <color rgb="FFBFBFBF"/>
      </top>
      <bottom style="thin">
        <color rgb="FFBFBFBF"/>
      </bottom>
    </border>
    <border>
      <bottom style="medium">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shrinkToFit="0" vertical="top" wrapText="1"/>
    </xf>
    <xf borderId="0" fillId="0" fontId="6" numFmtId="0" xfId="0" applyFont="1"/>
    <xf borderId="1" fillId="2" fontId="7" numFmtId="0" xfId="0" applyAlignment="1" applyBorder="1" applyFill="1" applyFont="1">
      <alignment horizontal="center" vertical="center"/>
    </xf>
    <xf borderId="0" fillId="0" fontId="8" numFmtId="0" xfId="0" applyFont="1"/>
    <xf borderId="0" fillId="0" fontId="9" numFmtId="0" xfId="0" applyFont="1"/>
    <xf borderId="0" fillId="0" fontId="10" numFmtId="0" xfId="0" applyAlignment="1" applyFont="1">
      <alignment shrinkToFit="0" vertical="top" wrapText="1"/>
    </xf>
    <xf borderId="0" fillId="0" fontId="11" numFmtId="0" xfId="0" applyFont="1"/>
    <xf borderId="2" fillId="2" fontId="7" numFmtId="0" xfId="0" applyAlignment="1" applyBorder="1" applyFill="1" applyFont="1">
      <alignment horizontal="center" vertical="center"/>
    </xf>
    <xf borderId="3" fillId="0" fontId="5" numFmtId="164" xfId="0" applyAlignment="1" applyBorder="1" applyFont="1" applyNumberFormat="1">
      <alignment vertical="center"/>
    </xf>
    <xf borderId="3" fillId="0" fontId="5" numFmtId="0" xfId="0" applyAlignment="1" applyBorder="1" applyFont="1">
      <alignment vertical="center"/>
    </xf>
    <xf borderId="3" fillId="0" fontId="5" numFmtId="0" xfId="0" applyAlignment="1" applyBorder="1" applyFont="1">
      <alignment horizontal="center" vertical="center"/>
    </xf>
    <xf borderId="4" fillId="3" fontId="12" numFmtId="0" xfId="0" applyBorder="1" applyFill="1" applyFont="1"/>
    <xf borderId="3" fillId="0" fontId="5" numFmtId="165" xfId="0" applyAlignment="1" applyBorder="1" applyFont="1" applyNumberFormat="1">
      <alignment vertical="center"/>
    </xf>
    <xf borderId="0" fillId="0" fontId="5" numFmtId="0" xfId="0" applyFont="1"/>
    <xf borderId="4" fillId="4" fontId="12" numFmtId="0" xfId="0" applyBorder="1" applyFill="1" applyFont="1"/>
    <xf borderId="5" fillId="0" fontId="5" numFmtId="164" xfId="0" applyAlignment="1" applyBorder="1" applyFont="1" applyNumberFormat="1">
      <alignment vertical="center"/>
    </xf>
    <xf borderId="5" fillId="0" fontId="5" numFmtId="0" xfId="0" applyAlignment="1" applyBorder="1" applyFont="1">
      <alignment vertical="center"/>
    </xf>
    <xf borderId="5" fillId="0" fontId="5" numFmtId="0" xfId="0" applyAlignment="1" applyBorder="1" applyFont="1">
      <alignment horizontal="center" vertical="center"/>
    </xf>
    <xf borderId="5" fillId="0" fontId="5" numFmtId="165" xfId="0" applyAlignment="1" applyBorder="1" applyFont="1" applyNumberFormat="1">
      <alignment vertical="center"/>
    </xf>
    <xf borderId="5" fillId="0" fontId="5" numFmtId="166" xfId="0" applyAlignment="1" applyBorder="1" applyFont="1" applyNumberFormat="1">
      <alignment vertical="center"/>
    </xf>
    <xf borderId="0" fillId="0" fontId="13"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2" numFmtId="0" xfId="0" applyAlignment="1" applyFont="1">
      <alignment horizontal="center" vertical="center"/>
    </xf>
    <xf borderId="6" fillId="0" fontId="5" numFmtId="0" xfId="0" applyAlignment="1" applyBorder="1" applyFont="1">
      <alignment horizontal="center" readingOrder="0" shrinkToFit="0" vertical="center" wrapText="1"/>
    </xf>
    <xf borderId="7" fillId="5" fontId="14" numFmtId="0" xfId="0" applyAlignment="1" applyBorder="1" applyFill="1" applyFont="1">
      <alignment vertical="center"/>
    </xf>
    <xf borderId="6" fillId="0" fontId="5" numFmtId="0" xfId="0" applyAlignment="1" applyBorder="1" applyFont="1">
      <alignment readingOrder="0" shrinkToFit="0" vertical="center" wrapText="1"/>
    </xf>
    <xf borderId="8" fillId="0" fontId="15" numFmtId="0" xfId="0" applyBorder="1" applyFont="1"/>
    <xf borderId="6" fillId="0" fontId="5" numFmtId="0" xfId="0" applyAlignment="1" applyBorder="1" applyFont="1">
      <alignment horizontal="center" shrinkToFit="0" vertical="center" wrapText="1"/>
    </xf>
    <xf borderId="9" fillId="0" fontId="15" numFmtId="0" xfId="0" applyBorder="1" applyFont="1"/>
    <xf borderId="0" fillId="0" fontId="16" numFmtId="0" xfId="0" applyAlignment="1" applyFont="1">
      <alignment vertical="center"/>
    </xf>
    <xf borderId="10" fillId="6" fontId="17" numFmtId="0" xfId="0" applyAlignment="1" applyBorder="1" applyFill="1" applyFont="1">
      <alignment horizontal="center" shrinkToFit="0" vertical="center" wrapText="1"/>
    </xf>
    <xf borderId="10" fillId="0" fontId="18" numFmtId="0" xfId="0" applyAlignment="1" applyBorder="1" applyFont="1">
      <alignment vertical="center"/>
    </xf>
    <xf borderId="10" fillId="0" fontId="18" numFmtId="167" xfId="0" applyAlignment="1" applyBorder="1" applyFont="1" applyNumberFormat="1">
      <alignment vertical="center"/>
    </xf>
    <xf borderId="10" fillId="7" fontId="18" numFmtId="0" xfId="0" applyAlignment="1" applyBorder="1" applyFill="1" applyFont="1">
      <alignment vertical="center"/>
    </xf>
    <xf borderId="10" fillId="8" fontId="18" numFmtId="0" xfId="0" applyAlignment="1" applyBorder="1" applyFill="1" applyFont="1">
      <alignment vertical="center"/>
    </xf>
    <xf borderId="6" fillId="0" fontId="5" numFmtId="165" xfId="0" applyAlignment="1" applyBorder="1" applyFont="1" applyNumberFormat="1">
      <alignment shrinkToFit="0" vertical="center" wrapText="1"/>
    </xf>
    <xf borderId="6" fillId="3" fontId="5" numFmtId="0" xfId="0" applyAlignment="1" applyBorder="1" applyFill="1" applyFont="1">
      <alignment horizontal="center" shrinkToFit="0" vertical="center" wrapText="1"/>
    </xf>
    <xf borderId="6" fillId="4" fontId="13" numFmtId="0" xfId="0" applyAlignment="1" applyBorder="1" applyFill="1" applyFont="1">
      <alignment horizontal="center" shrinkToFit="0" vertical="center" wrapText="1"/>
    </xf>
    <xf borderId="10" fillId="0" fontId="18" numFmtId="165" xfId="0" applyAlignment="1" applyBorder="1" applyFont="1" applyNumberFormat="1">
      <alignment vertical="center"/>
    </xf>
    <xf borderId="6" fillId="4" fontId="19" numFmtId="0" xfId="0" applyAlignment="1" applyBorder="1" applyFill="1" applyFont="1">
      <alignment horizontal="center" shrinkToFit="0" vertical="center" wrapText="1"/>
    </xf>
    <xf borderId="6" fillId="0" fontId="5" numFmtId="164" xfId="0" applyAlignment="1" applyBorder="1" applyFont="1" applyNumberFormat="1">
      <alignment shrinkToFit="0" vertical="center" wrapText="1"/>
    </xf>
    <xf borderId="11" fillId="0" fontId="12" numFmtId="0" xfId="0" applyAlignment="1" applyBorder="1" applyFont="1">
      <alignment horizontal="center" vertical="center"/>
    </xf>
    <xf borderId="5" fillId="0" fontId="5" numFmtId="0" xfId="0" applyAlignment="1" applyBorder="1" applyFont="1">
      <alignment readingOrder="0" shrinkToFit="0" vertical="center" wrapText="1"/>
    </xf>
    <xf borderId="5" fillId="0" fontId="5" numFmtId="0" xfId="0" applyAlignment="1" applyBorder="1" applyFont="1">
      <alignment horizontal="center" shrinkToFit="0" vertical="center" wrapText="1"/>
    </xf>
    <xf borderId="5" fillId="0" fontId="5" numFmtId="0" xfId="0" applyAlignment="1" applyBorder="1" applyFont="1">
      <alignment horizontal="center" readingOrder="0" shrinkToFit="0" vertical="center" wrapText="1"/>
    </xf>
    <xf borderId="5" fillId="0" fontId="5" numFmtId="165" xfId="0" applyAlignment="1" applyBorder="1" applyFont="1" applyNumberFormat="1">
      <alignment shrinkToFit="0" vertical="center" wrapText="1"/>
    </xf>
    <xf borderId="5" fillId="3" fontId="5" numFmtId="0" xfId="0" applyAlignment="1" applyBorder="1" applyFill="1" applyFont="1">
      <alignment horizontal="center" shrinkToFit="0" vertical="center" wrapText="1"/>
    </xf>
    <xf borderId="5" fillId="4" fontId="13" numFmtId="0" xfId="0" applyAlignment="1" applyBorder="1" applyFill="1" applyFont="1">
      <alignment horizontal="center" shrinkToFit="0" vertical="center" wrapText="1"/>
    </xf>
    <xf borderId="5" fillId="4" fontId="19" numFmtId="0" xfId="0" applyAlignment="1" applyBorder="1" applyFill="1" applyFont="1">
      <alignment horizontal="center" shrinkToFit="0" vertical="center" wrapText="1"/>
    </xf>
    <xf borderId="5" fillId="0" fontId="5" numFmtId="164" xfId="0" applyAlignment="1" applyBorder="1" applyFont="1" applyNumberFormat="1">
      <alignment shrinkToFit="0" vertical="center" wrapText="1"/>
    </xf>
    <xf borderId="10" fillId="0" fontId="18" numFmtId="0" xfId="0" applyAlignment="1" applyBorder="1" applyFont="1">
      <alignment shrinkToFit="0" vertical="top" wrapText="1"/>
    </xf>
    <xf borderId="10" fillId="0" fontId="20" numFmtId="0" xfId="0" applyAlignment="1" applyBorder="1" applyFont="1">
      <alignment vertical="center"/>
    </xf>
    <xf borderId="10" fillId="0" fontId="20" numFmtId="165" xfId="0" applyAlignment="1" applyBorder="1" applyFont="1" applyNumberFormat="1">
      <alignment vertical="center"/>
    </xf>
    <xf borderId="5" fillId="0" fontId="5" numFmtId="168" xfId="0" applyAlignment="1" applyBorder="1" applyFont="1" applyNumberFormat="1">
      <alignment vertical="center"/>
    </xf>
    <xf borderId="0" fillId="0" fontId="13" numFmtId="0" xfId="0" applyFont="1"/>
    <xf borderId="0" fillId="0" fontId="13" numFmtId="168" xfId="0" applyFont="1" applyNumberFormat="1"/>
    <xf borderId="0" fillId="0" fontId="21" numFmtId="0" xfId="0" applyFont="1"/>
    <xf borderId="5" fillId="0" fontId="5" numFmtId="0" xfId="0" applyAlignment="1" applyBorder="1" applyFont="1">
      <alignment shrinkToFit="0" vertical="center" wrapText="1"/>
    </xf>
    <xf borderId="5" fillId="0" fontId="5" numFmtId="0" xfId="0" applyAlignment="1" applyBorder="1" applyFont="1">
      <alignment readingOrder="0"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000000"/>
      </font>
      <fill>
        <patternFill patternType="solid">
          <fgColor rgb="FFFFC7CE"/>
          <bgColor rgb="FFFFC7CE"/>
        </patternFill>
      </fill>
      <border/>
    </dxf>
  </dxfs>
  <tableStyles count="1">
    <tableStyle count="4" pivot="0" name="Item Cata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C Patio DB" id="{4721c245-5b53-41e7-b8c7-674a69147acf}" providerId="google-sheets"/>
</x18tc:personList>
</file>

<file path=xl/tables/table1.xml><?xml version="1.0" encoding="utf-8"?>
<table xmlns="http://schemas.openxmlformats.org/spreadsheetml/2006/main" ref="A1:S203" displayName="ItemCatalog" name="ItemCatalog" id="1">
  <autoFilter ref="$A$1:$S$203">
    <filterColumn colId="1">
      <filters>
        <filter val="METAL"/>
      </filters>
    </filterColumn>
  </autoFilter>
  <tableColumns count="19">
    <tableColumn name="Item ID" id="1"/>
    <tableColumn name="Department" id="2"/>
    <tableColumn name="Operation" id="3"/>
    <tableColumn name="Item / Description" id="4"/>
    <tableColumn name="Item Name" id="5"/>
    <tableColumn name="Item" id="6"/>
    <tableColumn name="Description" id="7"/>
    <tableColumn name="SKU / Spec" id="8"/>
    <tableColumn name="Vendor" id="9"/>
    <tableColumn name="Unit" id="10"/>
    <tableColumn name="Unit Price ($)" id="11"/>
    <tableColumn name="On-Hand" id="12"/>
    <tableColumn name="Reorder Point (Min)" id="13"/>
    <tableColumn name="Fulfillment Point (Max)" id="14"/>
    <tableColumn name="Order Qty (auto)" id="15"/>
    <tableColumn name="Below Reorder? (auto)" id="16"/>
    <tableColumn name="Lead Time (days)" id="17"/>
    <tableColumn name="Last Purchased" id="18"/>
    <tableColumn name="Notes" id="19"/>
  </tableColumns>
  <tableStyleInfo name="Item Cata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8-24T16:07:34.00" personId="{4721c245-5b53-41e7-b8c7-674a69147acf}" id="{8865c45f-bebc-4459-8b17-32568f59fa90}" done="0">
    <x18tc:text xml:space="preserve">MAX: order back up to this level.</x18tc:text>
  </x18tc:threadedComment>
  <x18tc:threadedComment ref="M1" dT="2026-08-24T16:07:34.00" personId="{4721c245-5b53-41e7-b8c7-674a69147acf}" id="{3da15c06-23f9-4834-80ae-3ee066b84e8b}" done="0">
    <x18tc:text xml:space="preserve">MIN: when On-Hand &lt;= this, reorder. Consumables seeded from history; metal blank for the owner to set.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7"/>
  <cols>
    <col customWidth="1" min="1" max="1" width="2.0"/>
    <col customWidth="1" min="2" max="2" width="24.0"/>
    <col customWidth="1" min="3" max="8" width="15.0"/>
    <col customWidth="1" min="9" max="26" width="8.71"/>
  </cols>
  <sheetData>
    <row r="2" ht="26.25" customHeight="1">
      <c r="B2" s="1" t="s">
        <v>0</v>
      </c>
    </row>
    <row r="3">
      <c r="B3" s="2" t="s">
        <v>1</v>
      </c>
    </row>
    <row r="4">
      <c r="B4" s="3" t="s">
        <v>2</v>
      </c>
    </row>
    <row r="6" ht="16.5" customHeight="1">
      <c r="B6" s="4" t="s">
        <v>3</v>
      </c>
    </row>
    <row r="7">
      <c r="B7" s="5" t="s">
        <v>4</v>
      </c>
    </row>
    <row r="10" ht="16.5" customHeight="1">
      <c r="B10" s="4" t="s">
        <v>7</v>
      </c>
    </row>
    <row r="11">
      <c r="B11" s="8" t="s">
        <v>8</v>
      </c>
      <c r="C11" s="5" t="s">
        <v>11</v>
      </c>
    </row>
    <row r="12">
      <c r="B12" s="8" t="s">
        <v>14</v>
      </c>
      <c r="C12" s="5" t="s">
        <v>16</v>
      </c>
    </row>
    <row r="13">
      <c r="B13" s="8" t="s">
        <v>19</v>
      </c>
      <c r="C13" s="5" t="s">
        <v>21</v>
      </c>
    </row>
    <row r="14">
      <c r="B14" s="8" t="s">
        <v>23</v>
      </c>
      <c r="C14" s="5" t="s">
        <v>25</v>
      </c>
    </row>
    <row r="15">
      <c r="B15" s="8" t="s">
        <v>27</v>
      </c>
      <c r="C15" s="5" t="s">
        <v>29</v>
      </c>
    </row>
    <row r="17" ht="16.5" customHeight="1">
      <c r="B17" s="4" t="s">
        <v>31</v>
      </c>
    </row>
    <row r="18">
      <c r="B18" s="5" t="s">
        <v>32</v>
      </c>
    </row>
    <row r="21" ht="15.75" customHeight="1"/>
    <row r="22" ht="16.5" customHeight="1">
      <c r="B22" s="4" t="s">
        <v>36</v>
      </c>
    </row>
    <row r="23" ht="15.75" customHeight="1">
      <c r="B23" s="5" t="s">
        <v>39</v>
      </c>
    </row>
    <row r="24" ht="15.75" customHeight="1"/>
    <row r="25" ht="15.75" customHeight="1"/>
    <row r="26" ht="16.5" customHeight="1">
      <c r="B26" s="4" t="s">
        <v>45</v>
      </c>
    </row>
    <row r="27" ht="15.75" customHeight="1">
      <c r="B27" s="16"/>
      <c r="C27" s="18" t="s">
        <v>51</v>
      </c>
    </row>
    <row r="28" ht="15.75" customHeight="1">
      <c r="B28" s="19"/>
      <c r="C28" s="18" t="s">
        <v>55</v>
      </c>
    </row>
    <row r="29" ht="15.75" customHeight="1"/>
    <row r="30" ht="16.5" customHeight="1">
      <c r="B30" s="4" t="s">
        <v>57</v>
      </c>
    </row>
    <row r="31" ht="15.75" customHeight="1">
      <c r="B31" s="5" t="s">
        <v>59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23:H24"/>
    <mergeCell ref="C27:H27"/>
    <mergeCell ref="C28:H28"/>
    <mergeCell ref="B31:H32"/>
    <mergeCell ref="B7:H8"/>
    <mergeCell ref="C11:H11"/>
    <mergeCell ref="C12:H12"/>
    <mergeCell ref="C13:H13"/>
    <mergeCell ref="C14:H14"/>
    <mergeCell ref="C15:H15"/>
    <mergeCell ref="B18:H2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outlineLevelCol="7"/>
  <cols>
    <col customWidth="1" min="1" max="1" width="13.0"/>
    <col customWidth="1" min="2" max="2" width="24.14"/>
    <col customWidth="1" min="3" max="3" width="25.14"/>
    <col customWidth="1" hidden="1" min="4" max="4" width="66.71"/>
    <col customWidth="1" min="5" max="5" width="43.86"/>
    <col customWidth="1" min="6" max="6" width="44.29"/>
    <col customWidth="1" min="7" max="7" width="61.43"/>
    <col customWidth="1" min="8" max="8" width="47.71"/>
    <col customWidth="1" min="9" max="9" width="28.57"/>
    <col customWidth="1" min="10" max="10" width="17.86"/>
    <col customWidth="1" min="11" max="11" width="13.57"/>
    <col customWidth="1" min="12" max="12" width="17.57"/>
    <col customWidth="1" min="13" max="13" width="18.86"/>
    <col customWidth="1" min="14" max="14" width="21.71"/>
    <col customWidth="1" min="15" max="15" width="16.0"/>
    <col customWidth="1" min="16" max="16" width="21.0"/>
    <col customWidth="1" min="17" max="17" width="16.86"/>
    <col customWidth="1" min="18" max="18" width="15.43"/>
    <col customWidth="1" min="19" max="19" width="117.43"/>
    <col customWidth="1" min="20" max="28" width="8.71"/>
  </cols>
  <sheetData>
    <row r="1" ht="48.0" customHeight="1">
      <c r="A1" s="25" t="s">
        <v>91</v>
      </c>
      <c r="B1" s="25" t="s">
        <v>13</v>
      </c>
      <c r="C1" s="25" t="s">
        <v>98</v>
      </c>
      <c r="D1" s="25" t="s">
        <v>100</v>
      </c>
      <c r="E1" s="26" t="s">
        <v>101</v>
      </c>
      <c r="F1" s="25" t="s">
        <v>15</v>
      </c>
      <c r="G1" s="25" t="s">
        <v>103</v>
      </c>
      <c r="H1" s="25" t="s">
        <v>105</v>
      </c>
      <c r="I1" s="25" t="s">
        <v>12</v>
      </c>
      <c r="J1" s="25" t="s">
        <v>20</v>
      </c>
      <c r="K1" s="25" t="s">
        <v>110</v>
      </c>
      <c r="L1" s="25" t="s">
        <v>111</v>
      </c>
      <c r="M1" s="25" t="s">
        <v>8</v>
      </c>
      <c r="N1" s="25" t="s">
        <v>14</v>
      </c>
      <c r="O1" s="25" t="s">
        <v>19</v>
      </c>
      <c r="P1" s="25" t="s">
        <v>23</v>
      </c>
      <c r="Q1" s="25" t="s">
        <v>27</v>
      </c>
      <c r="R1" s="25" t="s">
        <v>117</v>
      </c>
      <c r="S1" s="25" t="s">
        <v>28</v>
      </c>
      <c r="T1" s="27"/>
      <c r="U1" s="27"/>
      <c r="V1" s="27"/>
      <c r="W1" s="27"/>
      <c r="X1" s="27"/>
      <c r="Y1" s="27"/>
      <c r="Z1" s="27"/>
      <c r="AA1" s="27"/>
      <c r="AB1" s="27"/>
    </row>
    <row r="2" ht="48.0" hidden="1" customHeight="1">
      <c r="A2" s="28" t="s">
        <v>121</v>
      </c>
      <c r="B2" s="30" t="s">
        <v>125</v>
      </c>
      <c r="C2" s="30" t="s">
        <v>127</v>
      </c>
      <c r="D2" s="32" t="s">
        <v>130</v>
      </c>
      <c r="E2" s="28" t="s">
        <v>136</v>
      </c>
      <c r="F2" s="32" t="str">
        <f>IFERROR(__xludf.DUMMYFUNCTION("IF(D2="""","""",IFERROR(TRIM(REGEXEXTRACT(D2, ""^(.*?)(?:,| - )"")), D2))"),"Replacement blades for electric fabric rotary cutter")</f>
        <v>Replacement blades for electric fabric rotary cutter</v>
      </c>
      <c r="G2" s="32" t="str">
        <f>IFERROR(__xludf.DUMMYFUNCTION("IF(D2="""","""",IFERROR(TRIM(REGEXEXTRACT(D2, ""(?:,| - )(.*)$"")), """"))"),"70mm")</f>
        <v>70mm</v>
      </c>
      <c r="H2" s="32" t="s">
        <v>162</v>
      </c>
      <c r="I2" s="32" t="s">
        <v>157</v>
      </c>
      <c r="J2" s="32" t="s">
        <v>167</v>
      </c>
      <c r="K2" s="40">
        <v>35.99</v>
      </c>
      <c r="L2" s="41"/>
      <c r="M2" s="41">
        <v>1.0</v>
      </c>
      <c r="N2" s="41">
        <v>2.0</v>
      </c>
      <c r="O2" s="42" t="str">
        <f t="shared" ref="O2:O43" si="1">IF(AND(ISNUMBER(L2),ISNUMBER(M2),ISNUMBER(N2)),IF(L2&lt;=M2,MAX(0,N2-L2),0),"")</f>
        <v/>
      </c>
      <c r="P2" s="44" t="str">
        <f t="shared" ref="P2:P43" si="2">IF(AND(ISNUMBER(L2),ISNUMBER(M2)),IF(L2&lt;=M2,"REORDER",""),"")</f>
        <v/>
      </c>
      <c r="Q2" s="41"/>
      <c r="R2" s="45">
        <v>46146.0</v>
      </c>
      <c r="S2" s="32" t="s">
        <v>215</v>
      </c>
      <c r="T2" s="46"/>
      <c r="U2" s="46"/>
      <c r="V2" s="46"/>
      <c r="W2" s="46"/>
      <c r="X2" s="46"/>
      <c r="Y2" s="46"/>
      <c r="Z2" s="46"/>
      <c r="AA2" s="46"/>
      <c r="AB2" s="46"/>
    </row>
    <row r="3" ht="48.0" hidden="1" customHeight="1">
      <c r="A3" s="28" t="s">
        <v>235</v>
      </c>
      <c r="B3" s="47" t="s">
        <v>125</v>
      </c>
      <c r="C3" s="47" t="s">
        <v>247</v>
      </c>
      <c r="D3" s="48" t="s">
        <v>250</v>
      </c>
      <c r="E3" s="49" t="s">
        <v>259</v>
      </c>
      <c r="F3" s="48" t="str">
        <f>IFERROR(__xludf.DUMMYFUNCTION("IF(D3="""","""",IFERROR(TRIM(REGEXEXTRACT(D3, ""^(.*?)(?:,| - )"")), D3))"),"Fabric guard")</f>
        <v>Fabric guard</v>
      </c>
      <c r="G3" s="48" t="str">
        <f>IFERROR(__xludf.DUMMYFUNCTION("IF(D3="""","""",IFERROR(TRIM(REGEXEXTRACT(D3, ""(?:,| - )(.*)$"")), """"))"),"water repellent &amp; stain shield spray for outdoor upholstery, 1 gallon")</f>
        <v>water repellent &amp; stain shield spray for outdoor upholstery, 1 gallon</v>
      </c>
      <c r="H3" s="48" t="s">
        <v>274</v>
      </c>
      <c r="I3" s="48" t="s">
        <v>157</v>
      </c>
      <c r="J3" s="48" t="s">
        <v>282</v>
      </c>
      <c r="K3" s="50">
        <v>76.49</v>
      </c>
      <c r="L3" s="51"/>
      <c r="M3" s="51">
        <v>0.0</v>
      </c>
      <c r="N3" s="51">
        <v>1.0</v>
      </c>
      <c r="O3" s="52" t="str">
        <f t="shared" si="1"/>
        <v/>
      </c>
      <c r="P3" s="53" t="str">
        <f t="shared" si="2"/>
        <v/>
      </c>
      <c r="Q3" s="51"/>
      <c r="R3" s="54">
        <v>46146.0</v>
      </c>
      <c r="S3" s="48" t="s">
        <v>308</v>
      </c>
      <c r="T3" s="46"/>
      <c r="U3" s="46"/>
      <c r="V3" s="46"/>
      <c r="W3" s="46"/>
      <c r="X3" s="46"/>
      <c r="Y3" s="46"/>
      <c r="Z3" s="46"/>
      <c r="AA3" s="46"/>
      <c r="AB3" s="46"/>
    </row>
    <row r="4" ht="48.0" hidden="1" customHeight="1">
      <c r="A4" s="28" t="s">
        <v>318</v>
      </c>
      <c r="B4" s="47" t="s">
        <v>125</v>
      </c>
      <c r="C4" s="47" t="s">
        <v>247</v>
      </c>
      <c r="D4" s="48" t="s">
        <v>231</v>
      </c>
      <c r="E4" s="49" t="s">
        <v>328</v>
      </c>
      <c r="F4" s="48" t="str">
        <f>IFERROR(__xludf.DUMMYFUNCTION("IF(D4="""","""",IFERROR(TRIM(REGEXEXTRACT(D4, ""^(.*?)(?:,| - )"")), D4))"),"Fabric cleaner")</f>
        <v>Fabric cleaner</v>
      </c>
      <c r="G4" s="48" t="str">
        <f>IFERROR(__xludf.DUMMYFUNCTION("IF(D4="""","""",IFERROR(TRIM(REGEXEXTRACT(D4, ""(?:,| - )(.*)$"")), """"))"),"multi-purpose, non-PFAS, 16 fl oz")</f>
        <v>multi-purpose, non-PFAS, 16 fl oz</v>
      </c>
      <c r="H4" s="48" t="s">
        <v>339</v>
      </c>
      <c r="I4" s="48" t="s">
        <v>157</v>
      </c>
      <c r="J4" s="48" t="s">
        <v>239</v>
      </c>
      <c r="K4" s="50">
        <v>13.7</v>
      </c>
      <c r="L4" s="51"/>
      <c r="M4" s="51">
        <v>1.0</v>
      </c>
      <c r="N4" s="51">
        <v>3.0</v>
      </c>
      <c r="O4" s="52" t="str">
        <f t="shared" si="1"/>
        <v/>
      </c>
      <c r="P4" s="53" t="str">
        <f t="shared" si="2"/>
        <v/>
      </c>
      <c r="Q4" s="51"/>
      <c r="R4" s="54">
        <v>46141.0</v>
      </c>
      <c r="S4" s="48" t="s">
        <v>374</v>
      </c>
      <c r="T4" s="46"/>
      <c r="U4" s="46"/>
      <c r="V4" s="46"/>
      <c r="W4" s="46"/>
      <c r="X4" s="46"/>
      <c r="Y4" s="46"/>
      <c r="Z4" s="46"/>
      <c r="AA4" s="46"/>
      <c r="AB4" s="46"/>
    </row>
    <row r="5" ht="48.0" hidden="1" customHeight="1">
      <c r="A5" s="28" t="s">
        <v>383</v>
      </c>
      <c r="B5" s="47" t="s">
        <v>125</v>
      </c>
      <c r="C5" s="47" t="s">
        <v>247</v>
      </c>
      <c r="D5" s="48" t="s">
        <v>391</v>
      </c>
      <c r="E5" s="49" t="s">
        <v>394</v>
      </c>
      <c r="F5" s="48" t="str">
        <f>IFERROR(__xludf.DUMMYFUNCTION("IF(D5="""","""",IFERROR(TRIM(REGEXEXTRACT(D5, ""^(.*?)(?:,| - )"")), D5))"),"Lint rollers")</f>
        <v>Lint rollers</v>
      </c>
      <c r="G5" s="48" t="str">
        <f>IFERROR(__xludf.DUMMYFUNCTION("IF(D5="""","""",IFERROR(TRIM(REGEXEXTRACT(D5, ""(?:,| - )(.*)$"")), """"))"),"6 handles + 6 refills (1,200 sheets total)")</f>
        <v>6 handles + 6 refills (1,200 sheets total)</v>
      </c>
      <c r="H5" s="48" t="s">
        <v>404</v>
      </c>
      <c r="I5" s="48" t="s">
        <v>157</v>
      </c>
      <c r="J5" s="48" t="s">
        <v>410</v>
      </c>
      <c r="K5" s="50">
        <v>19.98</v>
      </c>
      <c r="L5" s="51"/>
      <c r="M5" s="51">
        <v>1.0</v>
      </c>
      <c r="N5" s="51">
        <v>3.0</v>
      </c>
      <c r="O5" s="52" t="str">
        <f t="shared" si="1"/>
        <v/>
      </c>
      <c r="P5" s="53" t="str">
        <f t="shared" si="2"/>
        <v/>
      </c>
      <c r="Q5" s="51"/>
      <c r="R5" s="54">
        <v>46154.0</v>
      </c>
      <c r="S5" s="48" t="s">
        <v>426</v>
      </c>
      <c r="T5" s="46"/>
      <c r="U5" s="46"/>
      <c r="V5" s="46"/>
      <c r="W5" s="46"/>
      <c r="X5" s="46"/>
      <c r="Y5" s="46"/>
      <c r="Z5" s="46"/>
      <c r="AA5" s="46"/>
      <c r="AB5" s="46"/>
    </row>
    <row r="6" ht="48.0" hidden="1" customHeight="1">
      <c r="A6" s="28" t="s">
        <v>430</v>
      </c>
      <c r="B6" s="47" t="s">
        <v>125</v>
      </c>
      <c r="C6" s="47" t="s">
        <v>436</v>
      </c>
      <c r="D6" s="48" t="s">
        <v>246</v>
      </c>
      <c r="E6" s="49" t="s">
        <v>443</v>
      </c>
      <c r="F6" s="48" t="str">
        <f>IFERROR(__xludf.DUMMYFUNCTION("IF(D6="""","""",IFERROR(TRIM(REGEXEXTRACT(D6, ""^(.*?)(?:,| - )"")), D6))"),"Masking tape")</f>
        <v>Masking tape</v>
      </c>
      <c r="G6" s="48" t="str">
        <f>IFERROR(__xludf.DUMMYFUNCTION("IF(D6="""","""",IFERROR(TRIM(REGEXEXTRACT(D6, ""(?:,| - )(.*)$"")), """"))"),"contractor grade, 1"" x 60.1 yd (6 rolls)")</f>
        <v>contractor grade, 1" x 60.1 yd (6 rolls)</v>
      </c>
      <c r="H6" s="48" t="s">
        <v>454</v>
      </c>
      <c r="I6" s="48" t="s">
        <v>157</v>
      </c>
      <c r="J6" s="48" t="s">
        <v>248</v>
      </c>
      <c r="K6" s="50">
        <v>14.99</v>
      </c>
      <c r="L6" s="51"/>
      <c r="M6" s="51">
        <v>0.0</v>
      </c>
      <c r="N6" s="51">
        <v>1.0</v>
      </c>
      <c r="O6" s="52" t="str">
        <f t="shared" si="1"/>
        <v/>
      </c>
      <c r="P6" s="53" t="str">
        <f t="shared" si="2"/>
        <v/>
      </c>
      <c r="Q6" s="51"/>
      <c r="R6" s="54">
        <v>46209.0</v>
      </c>
      <c r="S6" s="48" t="s">
        <v>482</v>
      </c>
      <c r="T6" s="46"/>
      <c r="U6" s="46"/>
      <c r="V6" s="46"/>
      <c r="W6" s="46"/>
      <c r="X6" s="46"/>
      <c r="Y6" s="46"/>
      <c r="Z6" s="46"/>
      <c r="AA6" s="46"/>
      <c r="AB6" s="46"/>
    </row>
    <row r="7" ht="48.0" hidden="1" customHeight="1">
      <c r="A7" s="28" t="s">
        <v>488</v>
      </c>
      <c r="B7" s="47" t="s">
        <v>125</v>
      </c>
      <c r="C7" s="47" t="s">
        <v>436</v>
      </c>
      <c r="D7" s="48" t="s">
        <v>270</v>
      </c>
      <c r="E7" s="49" t="s">
        <v>498</v>
      </c>
      <c r="F7" s="48" t="str">
        <f>IFERROR(__xludf.DUMMYFUNCTION("IF(D7="""","""",IFERROR(TRIM(REGEXEXTRACT(D7, ""^(.*?)(?:,| - )"")), D7))"),"Color coding dot stickers")</f>
        <v>Color coding dot stickers</v>
      </c>
      <c r="G7" s="48" t="str">
        <f>IFERROR(__xludf.DUMMYFUNCTION("IF(D7="""","""",IFERROR(TRIM(REGEXEXTRACT(D7, ""(?:,| - )(.*)$"")), """"))"),"3/4"", 10 colors (10 rolls / 4,500 pcs)")</f>
        <v>3/4", 10 colors (10 rolls / 4,500 pcs)</v>
      </c>
      <c r="H7" s="48" t="s">
        <v>505</v>
      </c>
      <c r="I7" s="48" t="s">
        <v>157</v>
      </c>
      <c r="J7" s="48" t="s">
        <v>272</v>
      </c>
      <c r="K7" s="50">
        <v>9.4</v>
      </c>
      <c r="L7" s="51"/>
      <c r="M7" s="51">
        <v>0.0</v>
      </c>
      <c r="N7" s="51">
        <v>1.0</v>
      </c>
      <c r="O7" s="52" t="str">
        <f t="shared" si="1"/>
        <v/>
      </c>
      <c r="P7" s="53" t="str">
        <f t="shared" si="2"/>
        <v/>
      </c>
      <c r="Q7" s="51"/>
      <c r="R7" s="54">
        <v>46209.0</v>
      </c>
      <c r="S7" s="48" t="s">
        <v>520</v>
      </c>
      <c r="T7" s="46"/>
      <c r="U7" s="46"/>
      <c r="V7" s="46"/>
      <c r="W7" s="46"/>
      <c r="X7" s="46"/>
      <c r="Y7" s="46"/>
      <c r="Z7" s="46"/>
      <c r="AA7" s="46"/>
      <c r="AB7" s="46"/>
    </row>
    <row r="8" ht="48.0" hidden="1" customHeight="1">
      <c r="A8" s="28" t="s">
        <v>531</v>
      </c>
      <c r="B8" s="47" t="s">
        <v>125</v>
      </c>
      <c r="C8" s="47" t="s">
        <v>436</v>
      </c>
      <c r="D8" s="48" t="s">
        <v>535</v>
      </c>
      <c r="E8" s="49" t="s">
        <v>537</v>
      </c>
      <c r="F8" s="48" t="str">
        <f>IFERROR(__xludf.DUMMYFUNCTION("IF(D8="""","""",IFERROR(TRIM(REGEXEXTRACT(D8, ""^(.*?)(?:,| - )"")), D8))"),"Sewing machine oil")</f>
        <v>Sewing machine oil</v>
      </c>
      <c r="G8" s="48" t="str">
        <f>IFERROR(__xludf.DUMMYFUNCTION("IF(D8="""","""",IFERROR(TRIM(REGEXEXTRACT(D8, ""(?:,| - )(.*)$"")), """"))"),"JUKI Defrix No. 2, 700 ml")</f>
        <v>JUKI Defrix No. 2, 700 ml</v>
      </c>
      <c r="H8" s="48" t="s">
        <v>548</v>
      </c>
      <c r="I8" s="48" t="s">
        <v>157</v>
      </c>
      <c r="J8" s="48" t="s">
        <v>239</v>
      </c>
      <c r="K8" s="50">
        <v>55.0</v>
      </c>
      <c r="L8" s="51"/>
      <c r="M8" s="51">
        <v>1.0</v>
      </c>
      <c r="N8" s="51">
        <v>2.0</v>
      </c>
      <c r="O8" s="52" t="str">
        <f t="shared" si="1"/>
        <v/>
      </c>
      <c r="P8" s="53" t="str">
        <f t="shared" si="2"/>
        <v/>
      </c>
      <c r="Q8" s="51"/>
      <c r="R8" s="54">
        <v>46051.0</v>
      </c>
      <c r="S8" s="48" t="s">
        <v>567</v>
      </c>
      <c r="T8" s="46"/>
      <c r="U8" s="46"/>
      <c r="V8" s="46"/>
      <c r="W8" s="46"/>
      <c r="X8" s="46"/>
      <c r="Y8" s="46"/>
      <c r="Z8" s="46"/>
      <c r="AA8" s="46"/>
      <c r="AB8" s="46"/>
    </row>
    <row r="9" ht="48.0" hidden="1" customHeight="1">
      <c r="A9" s="28" t="s">
        <v>574</v>
      </c>
      <c r="B9" s="47" t="s">
        <v>125</v>
      </c>
      <c r="C9" s="47" t="s">
        <v>127</v>
      </c>
      <c r="D9" s="48" t="s">
        <v>428</v>
      </c>
      <c r="E9" s="49" t="s">
        <v>584</v>
      </c>
      <c r="F9" s="48" t="str">
        <f>IFERROR(__xludf.DUMMYFUNCTION("IF(D9="""","""",IFERROR(TRIM(REGEXEXTRACT(D9, ""^(.*?)(?:,| - )"")), D9))"),"Stretch wrap")</f>
        <v>Stretch wrap</v>
      </c>
      <c r="G9" s="48" t="str">
        <f>IFERROR(__xludf.DUMMYFUNCTION("IF(D9="""","""",IFERROR(TRIM(REGEXEXTRACT(D9, ""(?:,| - )(.*)$"")), """"))"),"5"" x 1000 ft, industrial, with handles (4-pack)")</f>
        <v>5" x 1000 ft, industrial, with handles (4-pack)</v>
      </c>
      <c r="H9" s="48" t="s">
        <v>594</v>
      </c>
      <c r="I9" s="48" t="s">
        <v>157</v>
      </c>
      <c r="J9" s="48" t="s">
        <v>350</v>
      </c>
      <c r="K9" s="50">
        <v>26.99</v>
      </c>
      <c r="L9" s="51"/>
      <c r="M9" s="51">
        <v>0.0</v>
      </c>
      <c r="N9" s="51">
        <v>1.0</v>
      </c>
      <c r="O9" s="52" t="str">
        <f t="shared" si="1"/>
        <v/>
      </c>
      <c r="P9" s="53" t="str">
        <f t="shared" si="2"/>
        <v/>
      </c>
      <c r="Q9" s="51"/>
      <c r="R9" s="54">
        <v>46141.0</v>
      </c>
      <c r="S9" s="48" t="s">
        <v>630</v>
      </c>
      <c r="T9" s="46"/>
      <c r="U9" s="46"/>
      <c r="V9" s="46"/>
      <c r="W9" s="46"/>
      <c r="X9" s="46"/>
      <c r="Y9" s="46"/>
      <c r="Z9" s="46"/>
      <c r="AA9" s="46"/>
      <c r="AB9" s="46"/>
    </row>
    <row r="10" ht="48.0" hidden="1" customHeight="1">
      <c r="A10" s="28" t="s">
        <v>525</v>
      </c>
      <c r="B10" s="47" t="s">
        <v>125</v>
      </c>
      <c r="C10" s="47" t="s">
        <v>436</v>
      </c>
      <c r="D10" s="48" t="s">
        <v>533</v>
      </c>
      <c r="E10" s="49" t="s">
        <v>659</v>
      </c>
      <c r="F10" s="48" t="str">
        <f>IFERROR(__xludf.DUMMYFUNCTION("IF(D10="""","""",IFERROR(TRIM(REGEXEXTRACT(D10, ""^(.*?)(?:,| - )"")), D10))"),"Double-sided fabric tape")</f>
        <v>Double-sided fabric tape</v>
      </c>
      <c r="G10" s="48" t="str">
        <f>IFERROR(__xludf.DUMMYFUNCTION("IF(D10="""","""",IFERROR(TRIM(REGEXEXTRACT(D10, ""(?:,| - )(.*)$"")), """"))"),"heavy duty, 1/2"" - removable, residue-free")</f>
        <v>heavy duty, 1/2" - removable, residue-free</v>
      </c>
      <c r="H10" s="48" t="s">
        <v>667</v>
      </c>
      <c r="I10" s="48" t="s">
        <v>157</v>
      </c>
      <c r="J10" s="48" t="s">
        <v>534</v>
      </c>
      <c r="K10" s="50">
        <v>9.02</v>
      </c>
      <c r="L10" s="51"/>
      <c r="M10" s="51">
        <v>6.0</v>
      </c>
      <c r="N10" s="51">
        <v>15.0</v>
      </c>
      <c r="O10" s="52" t="str">
        <f t="shared" si="1"/>
        <v/>
      </c>
      <c r="P10" s="53" t="str">
        <f t="shared" si="2"/>
        <v/>
      </c>
      <c r="Q10" s="51"/>
      <c r="R10" s="54">
        <v>46192.0</v>
      </c>
      <c r="S10" s="48" t="s">
        <v>685</v>
      </c>
      <c r="T10" s="46"/>
      <c r="U10" s="46"/>
      <c r="V10" s="46"/>
      <c r="W10" s="46"/>
      <c r="X10" s="46"/>
      <c r="Y10" s="46"/>
      <c r="Z10" s="46"/>
      <c r="AA10" s="46"/>
      <c r="AB10" s="46"/>
    </row>
    <row r="11" ht="48.0" hidden="1" customHeight="1">
      <c r="A11" s="28" t="s">
        <v>552</v>
      </c>
      <c r="B11" s="47" t="s">
        <v>125</v>
      </c>
      <c r="C11" s="47" t="s">
        <v>436</v>
      </c>
      <c r="D11" s="48" t="s">
        <v>697</v>
      </c>
      <c r="E11" s="49" t="s">
        <v>701</v>
      </c>
      <c r="F11" s="48" t="str">
        <f>IFERROR(__xludf.DUMMYFUNCTION("IF(D11="""","""",IFERROR(TRIM(REGEXEXTRACT(D11, ""^(.*?)(?:,| - )"")), D11))"),"Industrial sewing machine needles")</f>
        <v>Industrial sewing machine needles</v>
      </c>
      <c r="G11" s="48" t="str">
        <f>IFERROR(__xludf.DUMMYFUNCTION("IF(D11="""","""",IFERROR(TRIM(REGEXEXTRACT(D11, ""(?:,| - )(.*)$"")), """"))"),"62x57 / DVx57, size 110/18 (100-pack)")</f>
        <v>62x57 / DVx57, size 110/18 (100-pack)</v>
      </c>
      <c r="H11" s="48" t="s">
        <v>707</v>
      </c>
      <c r="I11" s="48" t="s">
        <v>711</v>
      </c>
      <c r="J11" s="48" t="s">
        <v>341</v>
      </c>
      <c r="K11" s="50">
        <v>59.95</v>
      </c>
      <c r="L11" s="51"/>
      <c r="M11" s="51">
        <v>0.0</v>
      </c>
      <c r="N11" s="51">
        <v>1.0</v>
      </c>
      <c r="O11" s="52" t="str">
        <f t="shared" si="1"/>
        <v/>
      </c>
      <c r="P11" s="53" t="str">
        <f t="shared" si="2"/>
        <v/>
      </c>
      <c r="Q11" s="51"/>
      <c r="R11" s="54">
        <v>46176.0</v>
      </c>
      <c r="S11" s="48" t="s">
        <v>721</v>
      </c>
      <c r="T11" s="46"/>
      <c r="U11" s="46"/>
      <c r="V11" s="46"/>
      <c r="W11" s="46"/>
      <c r="X11" s="46"/>
      <c r="Y11" s="46"/>
      <c r="Z11" s="46"/>
      <c r="AA11" s="46"/>
      <c r="AB11" s="46"/>
    </row>
    <row r="12" ht="48.0" hidden="1" customHeight="1">
      <c r="A12" s="28" t="s">
        <v>586</v>
      </c>
      <c r="B12" s="47" t="s">
        <v>125</v>
      </c>
      <c r="C12" s="47" t="s">
        <v>127</v>
      </c>
      <c r="D12" s="48" t="s">
        <v>730</v>
      </c>
      <c r="E12" s="49" t="s">
        <v>733</v>
      </c>
      <c r="F12" s="48" t="str">
        <f>IFERROR(__xludf.DUMMYFUNCTION("IF(D12="""","""",IFERROR(TRIM(REGEXEXTRACT(D12, ""^(.*?)(?:,| - )"")), D12))"),"Fabric marking pens")</f>
        <v>Fabric marking pens</v>
      </c>
      <c r="G12" s="48" t="str">
        <f>IFERROR(__xludf.DUMMYFUNCTION("IF(D12="""","""",IFERROR(TRIM(REGEXEXTRACT(D12, ""(?:,| - )(.*)$"")), """"))"),"5-count (2 water-soluble, 2 air-erasable, 1 eraser)")</f>
        <v>5-count (2 water-soluble, 2 air-erasable, 1 eraser)</v>
      </c>
      <c r="H12" s="48" t="s">
        <v>739</v>
      </c>
      <c r="I12" s="48" t="s">
        <v>157</v>
      </c>
      <c r="J12" s="48" t="s">
        <v>607</v>
      </c>
      <c r="K12" s="50">
        <v>8.99</v>
      </c>
      <c r="L12" s="51"/>
      <c r="M12" s="51">
        <v>0.0</v>
      </c>
      <c r="N12" s="51">
        <v>1.0</v>
      </c>
      <c r="O12" s="52" t="str">
        <f t="shared" si="1"/>
        <v/>
      </c>
      <c r="P12" s="53" t="str">
        <f t="shared" si="2"/>
        <v/>
      </c>
      <c r="Q12" s="51"/>
      <c r="R12" s="54">
        <v>46090.0</v>
      </c>
      <c r="S12" s="48" t="s">
        <v>751</v>
      </c>
      <c r="T12" s="46"/>
      <c r="U12" s="46"/>
      <c r="V12" s="46"/>
      <c r="W12" s="46"/>
      <c r="X12" s="46"/>
      <c r="Y12" s="46"/>
      <c r="Z12" s="46"/>
      <c r="AA12" s="46"/>
      <c r="AB12" s="46"/>
    </row>
    <row r="13" ht="48.0" hidden="1" customHeight="1">
      <c r="A13" s="28" t="s">
        <v>568</v>
      </c>
      <c r="B13" s="47" t="s">
        <v>125</v>
      </c>
      <c r="C13" s="47" t="s">
        <v>127</v>
      </c>
      <c r="D13" s="48" t="s">
        <v>757</v>
      </c>
      <c r="E13" s="49" t="s">
        <v>733</v>
      </c>
      <c r="F13" s="48" t="str">
        <f>IFERROR(__xludf.DUMMYFUNCTION("IF(D13="""","""",IFERROR(TRIM(REGEXEXTRACT(D13, ""^(.*?)(?:,| - )"")), D13))"),"Tailor's chalk &amp; fabric marking set")</f>
        <v>Tailor's chalk &amp; fabric marking set</v>
      </c>
      <c r="G13" s="48" t="str">
        <f>IFERROR(__xludf.DUMMYFUNCTION("IF(D13="""","""",IFERROR(TRIM(REGEXEXTRACT(D13, ""(?:,| - )(.*)$"")), """"))"),"20 pc (4 chalk triangles, 12 water-soluble pencils, 4 sharpeners)")</f>
        <v>20 pc (4 chalk triangles, 12 water-soluble pencils, 4 sharpeners)</v>
      </c>
      <c r="H13" s="48" t="s">
        <v>762</v>
      </c>
      <c r="I13" s="48" t="s">
        <v>157</v>
      </c>
      <c r="J13" s="48" t="s">
        <v>410</v>
      </c>
      <c r="K13" s="50">
        <v>14.99</v>
      </c>
      <c r="L13" s="51"/>
      <c r="M13" s="51">
        <v>0.0</v>
      </c>
      <c r="N13" s="51">
        <v>1.0</v>
      </c>
      <c r="O13" s="52" t="str">
        <f t="shared" si="1"/>
        <v/>
      </c>
      <c r="P13" s="53" t="str">
        <f t="shared" si="2"/>
        <v/>
      </c>
      <c r="Q13" s="51"/>
      <c r="R13" s="54">
        <v>46093.0</v>
      </c>
      <c r="S13" s="48" t="s">
        <v>776</v>
      </c>
      <c r="T13" s="46"/>
      <c r="U13" s="46"/>
      <c r="V13" s="46"/>
      <c r="W13" s="46"/>
      <c r="X13" s="46"/>
      <c r="Y13" s="46"/>
      <c r="Z13" s="46"/>
      <c r="AA13" s="46"/>
      <c r="AB13" s="46"/>
    </row>
    <row r="14" ht="48.0" hidden="1" customHeight="1">
      <c r="A14" s="28" t="s">
        <v>782</v>
      </c>
      <c r="B14" s="47" t="s">
        <v>125</v>
      </c>
      <c r="C14" s="47" t="s">
        <v>127</v>
      </c>
      <c r="D14" s="48" t="s">
        <v>783</v>
      </c>
      <c r="E14" s="49" t="s">
        <v>733</v>
      </c>
      <c r="F14" s="48" t="str">
        <f>IFERROR(__xludf.DUMMYFUNCTION("IF(D14="""","""",IFERROR(TRIM(REGEXEXTRACT(D14, ""^(.*?)(?:,| - )"")), D14))"),"Refillable chalk pencil set")</f>
        <v>Refillable chalk pencil set</v>
      </c>
      <c r="G14" s="48" t="str">
        <f>IFERROR(__xludf.DUMMYFUNCTION("IF(D14="""","""",IFERROR(TRIM(REGEXEXTRACT(D14, ""(?:,| - )(.*)$"")), """"))"),"aluminum, with sharpener and 12 x 4mm refills")</f>
        <v>aluminum, with sharpener and 12 x 4mm refills</v>
      </c>
      <c r="H14" s="48" t="s">
        <v>787</v>
      </c>
      <c r="I14" s="48" t="s">
        <v>157</v>
      </c>
      <c r="J14" s="48" t="s">
        <v>410</v>
      </c>
      <c r="K14" s="50">
        <v>14.07</v>
      </c>
      <c r="L14" s="51"/>
      <c r="M14" s="51">
        <v>0.0</v>
      </c>
      <c r="N14" s="51">
        <v>1.0</v>
      </c>
      <c r="O14" s="52" t="str">
        <f t="shared" si="1"/>
        <v/>
      </c>
      <c r="P14" s="53" t="str">
        <f t="shared" si="2"/>
        <v/>
      </c>
      <c r="Q14" s="51"/>
      <c r="R14" s="54">
        <v>45925.0</v>
      </c>
      <c r="S14" s="48" t="s">
        <v>815</v>
      </c>
      <c r="T14" s="46"/>
      <c r="U14" s="46"/>
      <c r="V14" s="46"/>
      <c r="W14" s="46"/>
      <c r="X14" s="46"/>
      <c r="Y14" s="46"/>
      <c r="Z14" s="46"/>
      <c r="AA14" s="46"/>
      <c r="AB14" s="46"/>
    </row>
    <row r="15" ht="48.0" hidden="1" customHeight="1">
      <c r="A15" s="28" t="s">
        <v>824</v>
      </c>
      <c r="B15" s="47" t="s">
        <v>125</v>
      </c>
      <c r="C15" s="47" t="s">
        <v>436</v>
      </c>
      <c r="D15" s="48" t="s">
        <v>660</v>
      </c>
      <c r="E15" s="49" t="s">
        <v>836</v>
      </c>
      <c r="F15" s="48" t="str">
        <f>IFERROR(__xludf.DUMMYFUNCTION("IF(D15="""","""",IFERROR(TRIM(REGEXEXTRACT(D15, ""^(.*?)(?:,| - )"")), D15))"),"#5 Beaver Zipper")</f>
        <v>#5 Beaver Zipper</v>
      </c>
      <c r="G15" s="48" t="str">
        <f>IFERROR(__xludf.DUMMYFUNCTION("IF(D15="""","""",IFERROR(TRIM(REGEXEXTRACT(D15, ""(?:,| - )(.*)$"")), """"))"),"")</f>
        <v/>
      </c>
      <c r="H15" s="48" t="s">
        <v>844</v>
      </c>
      <c r="I15" s="48" t="s">
        <v>240</v>
      </c>
      <c r="J15" s="48" t="s">
        <v>848</v>
      </c>
      <c r="K15" s="50">
        <v>50.0</v>
      </c>
      <c r="L15" s="51"/>
      <c r="M15" s="51"/>
      <c r="N15" s="51"/>
      <c r="O15" s="52" t="str">
        <f t="shared" si="1"/>
        <v/>
      </c>
      <c r="P15" s="53" t="str">
        <f t="shared" si="2"/>
        <v/>
      </c>
      <c r="Q15" s="51"/>
      <c r="R15" s="54">
        <v>45779.0</v>
      </c>
      <c r="S15" s="48" t="s">
        <v>861</v>
      </c>
      <c r="T15" s="46"/>
      <c r="U15" s="46"/>
      <c r="V15" s="46"/>
      <c r="W15" s="46"/>
      <c r="X15" s="46"/>
      <c r="Y15" s="46"/>
      <c r="Z15" s="46"/>
      <c r="AA15" s="46"/>
      <c r="AB15" s="46"/>
    </row>
    <row r="16" ht="48.0" hidden="1" customHeight="1">
      <c r="A16" s="28" t="s">
        <v>598</v>
      </c>
      <c r="B16" s="47" t="s">
        <v>125</v>
      </c>
      <c r="C16" s="47" t="s">
        <v>436</v>
      </c>
      <c r="D16" s="48" t="s">
        <v>865</v>
      </c>
      <c r="E16" s="49" t="s">
        <v>868</v>
      </c>
      <c r="F16" s="48" t="str">
        <f>IFERROR(__xludf.DUMMYFUNCTION("IF(D16="""","""",IFERROR(TRIM(REGEXEXTRACT(D16, ""^(.*?)(?:,| - )"")), D16))"),"#5 Beaver Zipper Heads")</f>
        <v>#5 Beaver Zipper Heads</v>
      </c>
      <c r="G16" s="48" t="str">
        <f>IFERROR(__xludf.DUMMYFUNCTION("IF(D16="""","""",IFERROR(TRIM(REGEXEXTRACT(D16, ""(?:,| - )(.*)$"")), """"))"),"")</f>
        <v/>
      </c>
      <c r="H16" s="48" t="s">
        <v>844</v>
      </c>
      <c r="I16" s="48" t="s">
        <v>240</v>
      </c>
      <c r="J16" s="48" t="s">
        <v>869</v>
      </c>
      <c r="K16" s="50">
        <v>40.0</v>
      </c>
      <c r="L16" s="51"/>
      <c r="M16" s="51"/>
      <c r="N16" s="51"/>
      <c r="O16" s="52" t="str">
        <f t="shared" si="1"/>
        <v/>
      </c>
      <c r="P16" s="53" t="str">
        <f t="shared" si="2"/>
        <v/>
      </c>
      <c r="Q16" s="51"/>
      <c r="R16" s="54">
        <v>45779.0</v>
      </c>
      <c r="S16" s="48" t="s">
        <v>861</v>
      </c>
      <c r="T16" s="46"/>
      <c r="U16" s="46"/>
      <c r="V16" s="46"/>
      <c r="W16" s="46"/>
      <c r="X16" s="46"/>
      <c r="Y16" s="46"/>
      <c r="Z16" s="46"/>
      <c r="AA16" s="46"/>
      <c r="AB16" s="46"/>
    </row>
    <row r="17" ht="48.0" hidden="1" customHeight="1">
      <c r="A17" s="28" t="s">
        <v>874</v>
      </c>
      <c r="B17" s="47" t="s">
        <v>125</v>
      </c>
      <c r="C17" s="47" t="s">
        <v>436</v>
      </c>
      <c r="D17" s="48" t="s">
        <v>549</v>
      </c>
      <c r="E17" s="49" t="s">
        <v>875</v>
      </c>
      <c r="F17" s="48" t="str">
        <f>IFERROR(__xludf.DUMMYFUNCTION("IF(D17="""","""",IFERROR(TRIM(REGEXEXTRACT(D17, ""^(.*?)(?:,| - )"")), D17))"),"#5 Black Zipper")</f>
        <v>#5 Black Zipper</v>
      </c>
      <c r="G17" s="48" t="str">
        <f>IFERROR(__xludf.DUMMYFUNCTION("IF(D17="""","""",IFERROR(TRIM(REGEXEXTRACT(D17, ""(?:,| - )(.*)$"")), """"))"),"")</f>
        <v/>
      </c>
      <c r="H17" s="48" t="s">
        <v>844</v>
      </c>
      <c r="I17" s="48" t="s">
        <v>240</v>
      </c>
      <c r="J17" s="48" t="s">
        <v>848</v>
      </c>
      <c r="K17" s="50">
        <v>50.0</v>
      </c>
      <c r="L17" s="51"/>
      <c r="M17" s="51"/>
      <c r="N17" s="51"/>
      <c r="O17" s="52" t="str">
        <f t="shared" si="1"/>
        <v/>
      </c>
      <c r="P17" s="53" t="str">
        <f t="shared" si="2"/>
        <v/>
      </c>
      <c r="Q17" s="51"/>
      <c r="R17" s="54">
        <v>45814.0</v>
      </c>
      <c r="S17" s="48" t="s">
        <v>861</v>
      </c>
      <c r="T17" s="46"/>
      <c r="U17" s="46"/>
      <c r="V17" s="46"/>
      <c r="W17" s="46"/>
      <c r="X17" s="46"/>
      <c r="Y17" s="46"/>
      <c r="Z17" s="46"/>
      <c r="AA17" s="46"/>
      <c r="AB17" s="46"/>
    </row>
    <row r="18" ht="48.0" hidden="1" customHeight="1">
      <c r="A18" s="28" t="s">
        <v>884</v>
      </c>
      <c r="B18" s="47" t="s">
        <v>125</v>
      </c>
      <c r="C18" s="47" t="s">
        <v>436</v>
      </c>
      <c r="D18" s="48" t="s">
        <v>561</v>
      </c>
      <c r="E18" s="49" t="s">
        <v>887</v>
      </c>
      <c r="F18" s="48" t="str">
        <f>IFERROR(__xludf.DUMMYFUNCTION("IF(D18="""","""",IFERROR(TRIM(REGEXEXTRACT(D18, ""^(.*?)(?:,| - )"")), D18))"),"#5 Black Zipper Heads")</f>
        <v>#5 Black Zipper Heads</v>
      </c>
      <c r="G18" s="48" t="str">
        <f>IFERROR(__xludf.DUMMYFUNCTION("IF(D18="""","""",IFERROR(TRIM(REGEXEXTRACT(D18, ""(?:,| - )(.*)$"")), """"))"),"")</f>
        <v/>
      </c>
      <c r="H18" s="48" t="s">
        <v>844</v>
      </c>
      <c r="I18" s="48" t="s">
        <v>240</v>
      </c>
      <c r="J18" s="48" t="s">
        <v>869</v>
      </c>
      <c r="K18" s="50">
        <v>40.0</v>
      </c>
      <c r="L18" s="51"/>
      <c r="M18" s="51"/>
      <c r="N18" s="51"/>
      <c r="O18" s="52" t="str">
        <f t="shared" si="1"/>
        <v/>
      </c>
      <c r="P18" s="53" t="str">
        <f t="shared" si="2"/>
        <v/>
      </c>
      <c r="Q18" s="51"/>
      <c r="R18" s="54">
        <v>45793.0</v>
      </c>
      <c r="S18" s="48" t="s">
        <v>861</v>
      </c>
      <c r="T18" s="46"/>
      <c r="U18" s="46"/>
      <c r="V18" s="46"/>
      <c r="W18" s="46"/>
      <c r="X18" s="46"/>
      <c r="Y18" s="46"/>
      <c r="Z18" s="46"/>
      <c r="AA18" s="46"/>
      <c r="AB18" s="46"/>
    </row>
    <row r="19" ht="48.0" hidden="1" customHeight="1">
      <c r="A19" s="28" t="s">
        <v>538</v>
      </c>
      <c r="B19" s="47" t="s">
        <v>125</v>
      </c>
      <c r="C19" s="47" t="s">
        <v>436</v>
      </c>
      <c r="D19" s="48" t="s">
        <v>545</v>
      </c>
      <c r="E19" s="49" t="s">
        <v>897</v>
      </c>
      <c r="F19" s="48" t="str">
        <f>IFERROR(__xludf.DUMMYFUNCTION("IF(D19="""","""",IFERROR(TRIM(REGEXEXTRACT(D19, ""^(.*?)(?:,| - )"")), D19))"),"#5 White Zipper")</f>
        <v>#5 White Zipper</v>
      </c>
      <c r="G19" s="48" t="str">
        <f>IFERROR(__xludf.DUMMYFUNCTION("IF(D19="""","""",IFERROR(TRIM(REGEXEXTRACT(D19, ""(?:,| - )(.*)$"")), """"))"),"")</f>
        <v/>
      </c>
      <c r="H19" s="48" t="s">
        <v>844</v>
      </c>
      <c r="I19" s="48" t="s">
        <v>240</v>
      </c>
      <c r="J19" s="48" t="s">
        <v>848</v>
      </c>
      <c r="K19" s="50">
        <v>50.0</v>
      </c>
      <c r="L19" s="51"/>
      <c r="M19" s="51"/>
      <c r="N19" s="51"/>
      <c r="O19" s="52" t="str">
        <f t="shared" si="1"/>
        <v/>
      </c>
      <c r="P19" s="53" t="str">
        <f t="shared" si="2"/>
        <v/>
      </c>
      <c r="Q19" s="51"/>
      <c r="R19" s="54">
        <v>45814.0</v>
      </c>
      <c r="S19" s="48" t="s">
        <v>861</v>
      </c>
      <c r="T19" s="46"/>
      <c r="U19" s="46"/>
      <c r="V19" s="46"/>
      <c r="W19" s="46"/>
      <c r="X19" s="46"/>
      <c r="Y19" s="46"/>
      <c r="Z19" s="46"/>
      <c r="AA19" s="46"/>
      <c r="AB19" s="46"/>
    </row>
    <row r="20" ht="48.0" hidden="1" customHeight="1">
      <c r="A20" s="28" t="s">
        <v>578</v>
      </c>
      <c r="B20" s="47" t="s">
        <v>125</v>
      </c>
      <c r="C20" s="47" t="s">
        <v>436</v>
      </c>
      <c r="D20" s="48" t="s">
        <v>591</v>
      </c>
      <c r="E20" s="49" t="s">
        <v>908</v>
      </c>
      <c r="F20" s="48" t="str">
        <f>IFERROR(__xludf.DUMMYFUNCTION("IF(D20="""","""",IFERROR(TRIM(REGEXEXTRACT(D20, ""^(.*?)(?:,| - )"")), D20))"),"#5 White Zipper Heads")</f>
        <v>#5 White Zipper Heads</v>
      </c>
      <c r="G20" s="48" t="str">
        <f>IFERROR(__xludf.DUMMYFUNCTION("IF(D20="""","""",IFERROR(TRIM(REGEXEXTRACT(D20, ""(?:,| - )(.*)$"")), """"))"),"")</f>
        <v/>
      </c>
      <c r="H20" s="48" t="s">
        <v>844</v>
      </c>
      <c r="I20" s="48" t="s">
        <v>240</v>
      </c>
      <c r="J20" s="48" t="s">
        <v>869</v>
      </c>
      <c r="K20" s="50">
        <v>45.0</v>
      </c>
      <c r="L20" s="51"/>
      <c r="M20" s="51"/>
      <c r="N20" s="51"/>
      <c r="O20" s="52" t="str">
        <f t="shared" si="1"/>
        <v/>
      </c>
      <c r="P20" s="53" t="str">
        <f t="shared" si="2"/>
        <v/>
      </c>
      <c r="Q20" s="51"/>
      <c r="R20" s="54">
        <v>45860.0</v>
      </c>
      <c r="S20" s="48" t="s">
        <v>861</v>
      </c>
      <c r="T20" s="46"/>
      <c r="U20" s="46"/>
      <c r="V20" s="46"/>
      <c r="W20" s="46"/>
      <c r="X20" s="46"/>
      <c r="Y20" s="46"/>
      <c r="Z20" s="46"/>
      <c r="AA20" s="46"/>
      <c r="AB20" s="46"/>
    </row>
    <row r="21" ht="48.0" hidden="1" customHeight="1">
      <c r="A21" s="28" t="s">
        <v>922</v>
      </c>
      <c r="B21" s="47" t="s">
        <v>125</v>
      </c>
      <c r="C21" s="47" t="s">
        <v>436</v>
      </c>
      <c r="D21" s="48" t="s">
        <v>695</v>
      </c>
      <c r="E21" s="49" t="s">
        <v>926</v>
      </c>
      <c r="F21" s="48" t="str">
        <f>IFERROR(__xludf.DUMMYFUNCTION("IF(D21="""","""",IFERROR(TRIM(REGEXEXTRACT(D21, ""^(.*?)(?:,| - )"")), D21))"),"1"" White Velcro Hook")</f>
        <v>1" White Velcro Hook</v>
      </c>
      <c r="G21" s="48" t="str">
        <f>IFERROR(__xludf.DUMMYFUNCTION("IF(D21="""","""",IFERROR(TRIM(REGEXEXTRACT(D21, ""(?:,| - )(.*)$"")), """"))"),"")</f>
        <v/>
      </c>
      <c r="H21" s="48" t="s">
        <v>915</v>
      </c>
      <c r="I21" s="48" t="s">
        <v>240</v>
      </c>
      <c r="J21" s="48" t="s">
        <v>932</v>
      </c>
      <c r="K21" s="50">
        <v>20.0</v>
      </c>
      <c r="L21" s="51"/>
      <c r="M21" s="51"/>
      <c r="N21" s="51"/>
      <c r="O21" s="52" t="str">
        <f t="shared" si="1"/>
        <v/>
      </c>
      <c r="P21" s="53" t="str">
        <f t="shared" si="2"/>
        <v/>
      </c>
      <c r="Q21" s="51"/>
      <c r="R21" s="54">
        <v>45814.0</v>
      </c>
      <c r="S21" s="48" t="s">
        <v>861</v>
      </c>
      <c r="T21" s="46"/>
      <c r="U21" s="46"/>
      <c r="V21" s="46"/>
      <c r="W21" s="46"/>
      <c r="X21" s="46"/>
      <c r="Y21" s="46"/>
      <c r="Z21" s="46"/>
      <c r="AA21" s="46"/>
      <c r="AB21" s="46"/>
    </row>
    <row r="22" ht="48.0" hidden="1" customHeight="1">
      <c r="A22" s="28" t="s">
        <v>557</v>
      </c>
      <c r="B22" s="47" t="s">
        <v>125</v>
      </c>
      <c r="C22" s="47" t="s">
        <v>436</v>
      </c>
      <c r="D22" s="48" t="s">
        <v>696</v>
      </c>
      <c r="E22" s="49" t="s">
        <v>945</v>
      </c>
      <c r="F22" s="48" t="str">
        <f>IFERROR(__xludf.DUMMYFUNCTION("IF(D22="""","""",IFERROR(TRIM(REGEXEXTRACT(D22, ""^(.*?)(?:,| - )"")), D22))"),"1"" White Velcro Loop")</f>
        <v>1" White Velcro Loop</v>
      </c>
      <c r="G22" s="48" t="str">
        <f>IFERROR(__xludf.DUMMYFUNCTION("IF(D22="""","""",IFERROR(TRIM(REGEXEXTRACT(D22, ""(?:,| - )(.*)$"")), """"))"),"")</f>
        <v/>
      </c>
      <c r="H22" s="48" t="s">
        <v>915</v>
      </c>
      <c r="I22" s="48" t="s">
        <v>240</v>
      </c>
      <c r="J22" s="48" t="s">
        <v>932</v>
      </c>
      <c r="K22" s="50">
        <v>20.0</v>
      </c>
      <c r="L22" s="51"/>
      <c r="M22" s="51"/>
      <c r="N22" s="51"/>
      <c r="O22" s="52" t="str">
        <f t="shared" si="1"/>
        <v/>
      </c>
      <c r="P22" s="53" t="str">
        <f t="shared" si="2"/>
        <v/>
      </c>
      <c r="Q22" s="51"/>
      <c r="R22" s="54">
        <v>45814.0</v>
      </c>
      <c r="S22" s="48" t="s">
        <v>861</v>
      </c>
      <c r="T22" s="46"/>
      <c r="U22" s="46"/>
      <c r="V22" s="46"/>
      <c r="W22" s="46"/>
      <c r="X22" s="46"/>
      <c r="Y22" s="46"/>
      <c r="Z22" s="46"/>
      <c r="AA22" s="46"/>
      <c r="AB22" s="46"/>
    </row>
    <row r="23" ht="48.0" hidden="1" customHeight="1">
      <c r="A23" s="28" t="s">
        <v>511</v>
      </c>
      <c r="B23" s="47" t="s">
        <v>125</v>
      </c>
      <c r="C23" s="47" t="s">
        <v>436</v>
      </c>
      <c r="D23" s="48" t="s">
        <v>526</v>
      </c>
      <c r="E23" s="49" t="s">
        <v>964</v>
      </c>
      <c r="F23" s="48" t="str">
        <f>IFERROR(__xludf.DUMMYFUNCTION("IF(D23="""","""",IFERROR(TRIM(REGEXEXTRACT(D23, ""^(.*?)(?:,| - )"")), D23))"),"2"" Black Velcro Hook")</f>
        <v>2" Black Velcro Hook</v>
      </c>
      <c r="G23" s="48" t="str">
        <f>IFERROR(__xludf.DUMMYFUNCTION("IF(D23="""","""",IFERROR(TRIM(REGEXEXTRACT(D23, ""(?:,| - )(.*)$"")), """"))"),"")</f>
        <v/>
      </c>
      <c r="H23" s="48" t="s">
        <v>692</v>
      </c>
      <c r="I23" s="48" t="s">
        <v>240</v>
      </c>
      <c r="J23" s="48" t="s">
        <v>932</v>
      </c>
      <c r="K23" s="50">
        <v>35.0</v>
      </c>
      <c r="L23" s="51"/>
      <c r="M23" s="51"/>
      <c r="N23" s="51"/>
      <c r="O23" s="52" t="str">
        <f t="shared" si="1"/>
        <v/>
      </c>
      <c r="P23" s="53" t="str">
        <f t="shared" si="2"/>
        <v/>
      </c>
      <c r="Q23" s="51"/>
      <c r="R23" s="54">
        <v>45881.0</v>
      </c>
      <c r="S23" s="48" t="s">
        <v>861</v>
      </c>
      <c r="T23" s="46"/>
      <c r="U23" s="46"/>
      <c r="V23" s="46"/>
      <c r="W23" s="46"/>
      <c r="X23" s="46"/>
      <c r="Y23" s="46"/>
      <c r="Z23" s="46"/>
      <c r="AA23" s="46"/>
      <c r="AB23" s="46"/>
    </row>
    <row r="24" ht="48.0" hidden="1" customHeight="1">
      <c r="A24" s="28" t="s">
        <v>514</v>
      </c>
      <c r="B24" s="47" t="s">
        <v>125</v>
      </c>
      <c r="C24" s="47" t="s">
        <v>436</v>
      </c>
      <c r="D24" s="48" t="s">
        <v>553</v>
      </c>
      <c r="E24" s="49" t="s">
        <v>979</v>
      </c>
      <c r="F24" s="48" t="str">
        <f>IFERROR(__xludf.DUMMYFUNCTION("IF(D24="""","""",IFERROR(TRIM(REGEXEXTRACT(D24, ""^(.*?)(?:,| - )"")), D24))"),"2"" Black Velcro Loop")</f>
        <v>2" Black Velcro Loop</v>
      </c>
      <c r="G24" s="48" t="str">
        <f>IFERROR(__xludf.DUMMYFUNCTION("IF(D24="""","""",IFERROR(TRIM(REGEXEXTRACT(D24, ""(?:,| - )(.*)$"")), """"))"),"")</f>
        <v/>
      </c>
      <c r="H24" s="48" t="s">
        <v>692</v>
      </c>
      <c r="I24" s="48" t="s">
        <v>240</v>
      </c>
      <c r="J24" s="48" t="s">
        <v>932</v>
      </c>
      <c r="K24" s="50">
        <v>35.0</v>
      </c>
      <c r="L24" s="51"/>
      <c r="M24" s="51"/>
      <c r="N24" s="51"/>
      <c r="O24" s="52" t="str">
        <f t="shared" si="1"/>
        <v/>
      </c>
      <c r="P24" s="53" t="str">
        <f t="shared" si="2"/>
        <v/>
      </c>
      <c r="Q24" s="51"/>
      <c r="R24" s="54">
        <v>45881.0</v>
      </c>
      <c r="S24" s="48" t="s">
        <v>861</v>
      </c>
      <c r="T24" s="46"/>
      <c r="U24" s="46"/>
      <c r="V24" s="46"/>
      <c r="W24" s="46"/>
      <c r="X24" s="46"/>
      <c r="Y24" s="46"/>
      <c r="Z24" s="46"/>
      <c r="AA24" s="46"/>
      <c r="AB24" s="46"/>
    </row>
    <row r="25" ht="48.0" hidden="1" customHeight="1">
      <c r="A25" s="28" t="s">
        <v>522</v>
      </c>
      <c r="B25" s="47" t="s">
        <v>125</v>
      </c>
      <c r="C25" s="47" t="s">
        <v>247</v>
      </c>
      <c r="D25" s="48" t="s">
        <v>587</v>
      </c>
      <c r="E25" s="49" t="s">
        <v>985</v>
      </c>
      <c r="F25" s="48" t="str">
        <f>IFERROR(__xludf.DUMMYFUNCTION("IF(D25="""","""",IFERROR(TRIM(REGEXEXTRACT(D25, ""^(.*?)(?:,| - )"")), D25))"),"2"" Tape")</f>
        <v>2" Tape</v>
      </c>
      <c r="G25" s="48" t="str">
        <f>IFERROR(__xludf.DUMMYFUNCTION("IF(D25="""","""",IFERROR(TRIM(REGEXEXTRACT(D25, ""(?:,| - )(.*)$"")), """"))"),"")</f>
        <v/>
      </c>
      <c r="H25" s="48" t="s">
        <v>692</v>
      </c>
      <c r="I25" s="48" t="s">
        <v>240</v>
      </c>
      <c r="J25" s="48" t="s">
        <v>993</v>
      </c>
      <c r="K25" s="50">
        <v>45.0</v>
      </c>
      <c r="L25" s="51"/>
      <c r="M25" s="51"/>
      <c r="N25" s="51"/>
      <c r="O25" s="52" t="str">
        <f t="shared" si="1"/>
        <v/>
      </c>
      <c r="P25" s="53" t="str">
        <f t="shared" si="2"/>
        <v/>
      </c>
      <c r="Q25" s="51"/>
      <c r="R25" s="54">
        <v>45826.0</v>
      </c>
      <c r="S25" s="48" t="s">
        <v>861</v>
      </c>
      <c r="T25" s="46"/>
      <c r="U25" s="46"/>
      <c r="V25" s="46"/>
      <c r="W25" s="46"/>
      <c r="X25" s="46"/>
      <c r="Y25" s="46"/>
      <c r="Z25" s="46"/>
      <c r="AA25" s="46"/>
      <c r="AB25" s="46"/>
    </row>
    <row r="26" ht="48.0" hidden="1" customHeight="1">
      <c r="A26" s="28" t="s">
        <v>1002</v>
      </c>
      <c r="B26" s="47" t="s">
        <v>125</v>
      </c>
      <c r="C26" s="47" t="s">
        <v>247</v>
      </c>
      <c r="D26" s="48" t="s">
        <v>569</v>
      </c>
      <c r="E26" s="49" t="s">
        <v>1004</v>
      </c>
      <c r="F26" s="48" t="str">
        <f>IFERROR(__xludf.DUMMYFUNCTION("IF(D26="""","""",IFERROR(TRIM(REGEXEXTRACT(D26, ""^(.*?)(?:,| - )"")), D26))"),"48"" Clear Poly Tubbing 2.0 mil")</f>
        <v>48" Clear Poly Tubbing 2.0 mil</v>
      </c>
      <c r="G26" s="48" t="str">
        <f>IFERROR(__xludf.DUMMYFUNCTION("IF(D26="""","""",IFERROR(TRIM(REGEXEXTRACT(D26, ""(?:,| - )(.*)$"")), """"))"),"")</f>
        <v/>
      </c>
      <c r="H26" s="48" t="s">
        <v>917</v>
      </c>
      <c r="I26" s="48" t="s">
        <v>240</v>
      </c>
      <c r="J26" s="48" t="s">
        <v>1010</v>
      </c>
      <c r="K26" s="50">
        <v>140.0</v>
      </c>
      <c r="L26" s="51"/>
      <c r="M26" s="51"/>
      <c r="N26" s="51"/>
      <c r="O26" s="52" t="str">
        <f t="shared" si="1"/>
        <v/>
      </c>
      <c r="P26" s="53" t="str">
        <f t="shared" si="2"/>
        <v/>
      </c>
      <c r="Q26" s="51"/>
      <c r="R26" s="54">
        <v>45860.0</v>
      </c>
      <c r="S26" s="48" t="s">
        <v>861</v>
      </c>
      <c r="T26" s="46"/>
      <c r="U26" s="46"/>
      <c r="V26" s="46"/>
      <c r="W26" s="46"/>
      <c r="X26" s="46"/>
      <c r="Y26" s="46"/>
      <c r="Z26" s="46"/>
      <c r="AA26" s="46"/>
      <c r="AB26" s="46"/>
    </row>
    <row r="27" ht="48.0" hidden="1" customHeight="1">
      <c r="A27" s="28" t="s">
        <v>1019</v>
      </c>
      <c r="B27" s="47" t="s">
        <v>125</v>
      </c>
      <c r="C27" s="47" t="s">
        <v>436</v>
      </c>
      <c r="D27" s="48" t="s">
        <v>876</v>
      </c>
      <c r="E27" s="49" t="s">
        <v>1023</v>
      </c>
      <c r="F27" s="48" t="str">
        <f>IFERROR(__xludf.DUMMYFUNCTION("IF(D27="""","""",IFERROR(TRIM(REGEXEXTRACT(D27, ""^(.*?)(?:,| - )"")), D27))"),"5/32"" Welt Cord")</f>
        <v>5/32" Welt Cord</v>
      </c>
      <c r="G27" s="48" t="str">
        <f>IFERROR(__xludf.DUMMYFUNCTION("IF(D27="""","""",IFERROR(TRIM(REGEXEXTRACT(D27, ""(?:,| - )(.*)$"")), """"))"),"")</f>
        <v/>
      </c>
      <c r="H27" s="48" t="s">
        <v>877</v>
      </c>
      <c r="I27" s="48" t="s">
        <v>240</v>
      </c>
      <c r="J27" s="48" t="s">
        <v>1027</v>
      </c>
      <c r="K27" s="50">
        <v>55.0</v>
      </c>
      <c r="L27" s="51"/>
      <c r="M27" s="51"/>
      <c r="N27" s="51"/>
      <c r="O27" s="52" t="str">
        <f t="shared" si="1"/>
        <v/>
      </c>
      <c r="P27" s="53" t="str">
        <f t="shared" si="2"/>
        <v/>
      </c>
      <c r="Q27" s="51"/>
      <c r="R27" s="54">
        <v>45779.0</v>
      </c>
      <c r="S27" s="48" t="s">
        <v>861</v>
      </c>
      <c r="T27" s="46"/>
      <c r="U27" s="46"/>
      <c r="V27" s="46"/>
      <c r="W27" s="46"/>
      <c r="X27" s="46"/>
      <c r="Y27" s="46"/>
      <c r="Z27" s="46"/>
      <c r="AA27" s="46"/>
      <c r="AB27" s="46"/>
    </row>
    <row r="28" ht="48.0" hidden="1" customHeight="1">
      <c r="A28" s="28" t="s">
        <v>572</v>
      </c>
      <c r="B28" s="47" t="s">
        <v>125</v>
      </c>
      <c r="C28" s="47" t="s">
        <v>247</v>
      </c>
      <c r="D28" s="48" t="s">
        <v>599</v>
      </c>
      <c r="E28" s="49" t="s">
        <v>1040</v>
      </c>
      <c r="F28" s="48" t="str">
        <f>IFERROR(__xludf.DUMMYFUNCTION("IF(D28="""","""",IFERROR(TRIM(REGEXEXTRACT(D28, ""^(.*?)(?:,| - )"")), D28))"),"54"" x 3/4oz Dacron")</f>
        <v>54" x 3/4oz Dacron</v>
      </c>
      <c r="G28" s="48" t="str">
        <f>IFERROR(__xludf.DUMMYFUNCTION("IF(D28="""","""",IFERROR(TRIM(REGEXEXTRACT(D28, ""(?:,| - )(.*)$"")), """"))"),"")</f>
        <v/>
      </c>
      <c r="H28" s="48" t="s">
        <v>880</v>
      </c>
      <c r="I28" s="48" t="s">
        <v>240</v>
      </c>
      <c r="J28" s="48" t="s">
        <v>1044</v>
      </c>
      <c r="K28" s="50">
        <v>54.0</v>
      </c>
      <c r="L28" s="51"/>
      <c r="M28" s="51"/>
      <c r="N28" s="51"/>
      <c r="O28" s="52" t="str">
        <f t="shared" si="1"/>
        <v/>
      </c>
      <c r="P28" s="53" t="str">
        <f t="shared" si="2"/>
        <v/>
      </c>
      <c r="Q28" s="51"/>
      <c r="R28" s="54">
        <v>45862.0</v>
      </c>
      <c r="S28" s="48" t="s">
        <v>861</v>
      </c>
      <c r="T28" s="46"/>
      <c r="U28" s="46"/>
      <c r="V28" s="46"/>
      <c r="W28" s="46"/>
      <c r="X28" s="46"/>
      <c r="Y28" s="46"/>
      <c r="Z28" s="46"/>
      <c r="AA28" s="46"/>
      <c r="AB28" s="46"/>
    </row>
    <row r="29" ht="48.0" hidden="1" customHeight="1">
      <c r="A29" s="28" t="s">
        <v>1051</v>
      </c>
      <c r="B29" s="47" t="s">
        <v>125</v>
      </c>
      <c r="C29" s="47" t="s">
        <v>436</v>
      </c>
      <c r="D29" s="48" t="s">
        <v>693</v>
      </c>
      <c r="E29" s="49" t="s">
        <v>1055</v>
      </c>
      <c r="F29" s="48" t="str">
        <f>IFERROR(__xludf.DUMMYFUNCTION("IF(D29="""","""",IFERROR(TRIM(REGEXEXTRACT(D29, ""^(.*?)(?:,| - )"")), D29))"),"Beaver Polyester Thread")</f>
        <v>Beaver Polyester Thread</v>
      </c>
      <c r="G29" s="48" t="str">
        <f>IFERROR(__xludf.DUMMYFUNCTION("IF(D29="""","""",IFERROR(TRIM(REGEXEXTRACT(D29, ""(?:,| - )(.*)$"")), """"))"),"")</f>
        <v/>
      </c>
      <c r="H29" s="48" t="s">
        <v>889</v>
      </c>
      <c r="I29" s="48" t="s">
        <v>240</v>
      </c>
      <c r="J29" s="48" t="s">
        <v>1059</v>
      </c>
      <c r="K29" s="50">
        <v>30.0</v>
      </c>
      <c r="L29" s="51"/>
      <c r="M29" s="51"/>
      <c r="N29" s="51"/>
      <c r="O29" s="52" t="str">
        <f t="shared" si="1"/>
        <v/>
      </c>
      <c r="P29" s="53" t="str">
        <f t="shared" si="2"/>
        <v/>
      </c>
      <c r="Q29" s="51"/>
      <c r="R29" s="54">
        <v>45790.0</v>
      </c>
      <c r="S29" s="48" t="s">
        <v>861</v>
      </c>
      <c r="T29" s="46"/>
      <c r="U29" s="46"/>
      <c r="V29" s="46"/>
      <c r="W29" s="46"/>
      <c r="X29" s="46"/>
      <c r="Y29" s="46"/>
      <c r="Z29" s="46"/>
      <c r="AA29" s="46"/>
      <c r="AB29" s="46"/>
    </row>
    <row r="30" ht="48.0" hidden="1" customHeight="1">
      <c r="A30" s="28" t="s">
        <v>1067</v>
      </c>
      <c r="B30" s="47" t="s">
        <v>125</v>
      </c>
      <c r="C30" s="47" t="s">
        <v>436</v>
      </c>
      <c r="D30" s="48" t="s">
        <v>540</v>
      </c>
      <c r="E30" s="49" t="s">
        <v>1070</v>
      </c>
      <c r="F30" s="48" t="str">
        <f>IFERROR(__xludf.DUMMYFUNCTION("IF(D30="""","""",IFERROR(TRIM(REGEXEXTRACT(D30, ""^(.*?)(?:,| - )"")), D30))"),"Black Polyester Thread")</f>
        <v>Black Polyester Thread</v>
      </c>
      <c r="G30" s="48" t="str">
        <f>IFERROR(__xludf.DUMMYFUNCTION("IF(D30="""","""",IFERROR(TRIM(REGEXEXTRACT(D30, ""(?:,| - )(.*)$"")), """"))"),"")</f>
        <v/>
      </c>
      <c r="H30" s="48" t="s">
        <v>889</v>
      </c>
      <c r="I30" s="48" t="s">
        <v>240</v>
      </c>
      <c r="J30" s="48" t="s">
        <v>1059</v>
      </c>
      <c r="K30" s="50">
        <v>30.0</v>
      </c>
      <c r="L30" s="51"/>
      <c r="M30" s="51"/>
      <c r="N30" s="51"/>
      <c r="O30" s="52" t="str">
        <f t="shared" si="1"/>
        <v/>
      </c>
      <c r="P30" s="53" t="str">
        <f t="shared" si="2"/>
        <v/>
      </c>
      <c r="Q30" s="51"/>
      <c r="R30" s="54">
        <v>45875.0</v>
      </c>
      <c r="S30" s="48" t="s">
        <v>861</v>
      </c>
      <c r="T30" s="46"/>
      <c r="U30" s="46"/>
      <c r="V30" s="46"/>
      <c r="W30" s="46"/>
      <c r="X30" s="46"/>
      <c r="Y30" s="46"/>
      <c r="Z30" s="46"/>
      <c r="AA30" s="46"/>
      <c r="AB30" s="46"/>
    </row>
    <row r="31" ht="48.0" hidden="1" customHeight="1">
      <c r="A31" s="28" t="s">
        <v>1081</v>
      </c>
      <c r="B31" s="47" t="s">
        <v>125</v>
      </c>
      <c r="C31" s="47" t="s">
        <v>247</v>
      </c>
      <c r="D31" s="48" t="s">
        <v>579</v>
      </c>
      <c r="E31" s="49" t="s">
        <v>1085</v>
      </c>
      <c r="F31" s="48" t="str">
        <f>IFERROR(__xludf.DUMMYFUNCTION("IF(D31="""","""",IFERROR(TRIM(REGEXEXTRACT(D31, ""^(.*?)(?:,| - )"")), D31))"),"Bond Seal Glue")</f>
        <v>Bond Seal Glue</v>
      </c>
      <c r="G31" s="48" t="str">
        <f>IFERROR(__xludf.DUMMYFUNCTION("IF(D31="""","""",IFERROR(TRIM(REGEXEXTRACT(D31, ""(?:,| - )(.*)$"")), """"))"),"")</f>
        <v/>
      </c>
      <c r="H31" s="48"/>
      <c r="I31" s="48" t="s">
        <v>240</v>
      </c>
      <c r="J31" s="48" t="s">
        <v>1089</v>
      </c>
      <c r="K31" s="50">
        <v>65.0</v>
      </c>
      <c r="L31" s="51"/>
      <c r="M31" s="51"/>
      <c r="N31" s="51"/>
      <c r="O31" s="52" t="str">
        <f t="shared" si="1"/>
        <v/>
      </c>
      <c r="P31" s="53" t="str">
        <f t="shared" si="2"/>
        <v/>
      </c>
      <c r="Q31" s="51"/>
      <c r="R31" s="54">
        <v>45783.0</v>
      </c>
      <c r="S31" s="48" t="s">
        <v>861</v>
      </c>
      <c r="T31" s="46"/>
      <c r="U31" s="46"/>
      <c r="V31" s="46"/>
      <c r="W31" s="46"/>
      <c r="X31" s="46"/>
      <c r="Y31" s="46"/>
      <c r="Z31" s="46"/>
      <c r="AA31" s="46"/>
      <c r="AB31" s="46"/>
    </row>
    <row r="32" ht="48.0" hidden="1" customHeight="1">
      <c r="A32" s="28" t="s">
        <v>1098</v>
      </c>
      <c r="B32" s="47" t="s">
        <v>125</v>
      </c>
      <c r="C32" s="47" t="s">
        <v>247</v>
      </c>
      <c r="D32" s="48" t="s">
        <v>756</v>
      </c>
      <c r="E32" s="49" t="s">
        <v>1085</v>
      </c>
      <c r="F32" s="48" t="str">
        <f>IFERROR(__xludf.DUMMYFUNCTION("IF(D32="""","""",IFERROR(TRIM(REGEXEXTRACT(D32, ""^(.*?)(?:,| - )"")), D32))"),"Glue")</f>
        <v>Glue</v>
      </c>
      <c r="G32" s="48" t="str">
        <f>IFERROR(__xludf.DUMMYFUNCTION("IF(D32="""","""",IFERROR(TRIM(REGEXEXTRACT(D32, ""(?:,| - )(.*)$"")), """"))"),"")</f>
        <v/>
      </c>
      <c r="H32" s="48"/>
      <c r="I32" s="48" t="s">
        <v>240</v>
      </c>
      <c r="J32" s="48" t="s">
        <v>1100</v>
      </c>
      <c r="K32" s="50">
        <v>35.0</v>
      </c>
      <c r="L32" s="51"/>
      <c r="M32" s="51"/>
      <c r="N32" s="51"/>
      <c r="O32" s="52" t="str">
        <f t="shared" si="1"/>
        <v/>
      </c>
      <c r="P32" s="53" t="str">
        <f t="shared" si="2"/>
        <v/>
      </c>
      <c r="Q32" s="51"/>
      <c r="R32" s="54">
        <v>45720.0</v>
      </c>
      <c r="S32" s="48" t="s">
        <v>861</v>
      </c>
      <c r="T32" s="46"/>
      <c r="U32" s="46"/>
      <c r="V32" s="46"/>
      <c r="W32" s="46"/>
      <c r="X32" s="46"/>
      <c r="Y32" s="46"/>
      <c r="Z32" s="46"/>
      <c r="AA32" s="46"/>
      <c r="AB32" s="46"/>
    </row>
    <row r="33" ht="48.0" hidden="1" customHeight="1">
      <c r="A33" s="28" t="s">
        <v>1108</v>
      </c>
      <c r="B33" s="47" t="s">
        <v>125</v>
      </c>
      <c r="C33" s="47" t="s">
        <v>247</v>
      </c>
      <c r="D33" s="48" t="s">
        <v>285</v>
      </c>
      <c r="E33" s="49" t="s">
        <v>1113</v>
      </c>
      <c r="F33" s="48" t="str">
        <f>IFERROR(__xludf.DUMMYFUNCTION("IF(D33="""","""",IFERROR(TRIM(REGEXEXTRACT(D33, ""^(.*?)(?:,| - )"")), D33))"),"Loose Fiber (fiberfill)")</f>
        <v>Loose Fiber (fiberfill)</v>
      </c>
      <c r="G33" s="48" t="str">
        <f>IFERROR(__xludf.DUMMYFUNCTION("IF(D33="""","""",IFERROR(TRIM(REGEXEXTRACT(D33, ""(?:,| - )(.*)$"")), """"))"),"")</f>
        <v/>
      </c>
      <c r="H33" s="48"/>
      <c r="I33" s="48" t="s">
        <v>240</v>
      </c>
      <c r="J33" s="48" t="s">
        <v>1118</v>
      </c>
      <c r="K33" s="50">
        <v>40.0</v>
      </c>
      <c r="L33" s="51"/>
      <c r="M33" s="51"/>
      <c r="N33" s="51"/>
      <c r="O33" s="52" t="str">
        <f t="shared" si="1"/>
        <v/>
      </c>
      <c r="P33" s="53" t="str">
        <f t="shared" si="2"/>
        <v/>
      </c>
      <c r="Q33" s="51"/>
      <c r="R33" s="54">
        <v>45862.0</v>
      </c>
      <c r="S33" s="48" t="s">
        <v>861</v>
      </c>
      <c r="T33" s="46"/>
      <c r="U33" s="46"/>
      <c r="V33" s="46"/>
      <c r="W33" s="46"/>
      <c r="X33" s="46"/>
      <c r="Y33" s="46"/>
      <c r="Z33" s="46"/>
      <c r="AA33" s="46"/>
      <c r="AB33" s="46"/>
    </row>
    <row r="34" ht="48.0" hidden="1" customHeight="1">
      <c r="A34" s="28" t="s">
        <v>1128</v>
      </c>
      <c r="B34" s="47" t="s">
        <v>125</v>
      </c>
      <c r="C34" s="47" t="s">
        <v>247</v>
      </c>
      <c r="D34" s="48" t="s">
        <v>241</v>
      </c>
      <c r="E34" s="49" t="s">
        <v>1133</v>
      </c>
      <c r="F34" s="48" t="str">
        <f>IFERROR(__xludf.DUMMYFUNCTION("IF(D34="""","""",IFERROR(TRIM(REGEXEXTRACT(D34, ""^(.*?)(?:,| - )"")), D34))"),"Pillow Insert 14x29 (Angel Hair)")</f>
        <v>Pillow Insert 14x29 (Angel Hair)</v>
      </c>
      <c r="G34" s="48" t="str">
        <f>IFERROR(__xludf.DUMMYFUNCTION("IF(D34="""","""",IFERROR(TRIM(REGEXEXTRACT(D34, ""(?:,| - )(.*)$"")), """"))"),"")</f>
        <v/>
      </c>
      <c r="H34" s="48" t="s">
        <v>712</v>
      </c>
      <c r="I34" s="48" t="s">
        <v>240</v>
      </c>
      <c r="J34" s="48" t="s">
        <v>239</v>
      </c>
      <c r="K34" s="50">
        <v>9.0</v>
      </c>
      <c r="L34" s="51"/>
      <c r="M34" s="51"/>
      <c r="N34" s="51"/>
      <c r="O34" s="52" t="str">
        <f t="shared" si="1"/>
        <v/>
      </c>
      <c r="P34" s="53" t="str">
        <f t="shared" si="2"/>
        <v/>
      </c>
      <c r="Q34" s="51"/>
      <c r="R34" s="54">
        <v>45883.0</v>
      </c>
      <c r="S34" s="48" t="s">
        <v>861</v>
      </c>
      <c r="T34" s="46"/>
      <c r="U34" s="46"/>
      <c r="V34" s="46"/>
      <c r="W34" s="46"/>
      <c r="X34" s="46"/>
      <c r="Y34" s="46"/>
      <c r="Z34" s="46"/>
      <c r="AA34" s="46"/>
      <c r="AB34" s="46"/>
    </row>
    <row r="35" ht="48.0" hidden="1" customHeight="1">
      <c r="A35" s="28" t="s">
        <v>1148</v>
      </c>
      <c r="B35" s="47" t="s">
        <v>125</v>
      </c>
      <c r="C35" s="47" t="s">
        <v>247</v>
      </c>
      <c r="D35" s="48" t="s">
        <v>360</v>
      </c>
      <c r="E35" s="49" t="s">
        <v>1154</v>
      </c>
      <c r="F35" s="48" t="str">
        <f>IFERROR(__xludf.DUMMYFUNCTION("IF(D35="""","""",IFERROR(TRIM(REGEXEXTRACT(D35, ""^(.*?)(?:,| - )"")), D35))"),"Pillow Insert 19x19 (Angel Hair)")</f>
        <v>Pillow Insert 19x19 (Angel Hair)</v>
      </c>
      <c r="G35" s="48" t="str">
        <f>IFERROR(__xludf.DUMMYFUNCTION("IF(D35="""","""",IFERROR(TRIM(REGEXEXTRACT(D35, ""(?:,| - )(.*)$"")), """"))"),"")</f>
        <v/>
      </c>
      <c r="H35" s="48" t="s">
        <v>760</v>
      </c>
      <c r="I35" s="48" t="s">
        <v>240</v>
      </c>
      <c r="J35" s="48" t="s">
        <v>239</v>
      </c>
      <c r="K35" s="50">
        <v>9.0</v>
      </c>
      <c r="L35" s="51"/>
      <c r="M35" s="51"/>
      <c r="N35" s="51"/>
      <c r="O35" s="52" t="str">
        <f t="shared" si="1"/>
        <v/>
      </c>
      <c r="P35" s="53" t="str">
        <f t="shared" si="2"/>
        <v/>
      </c>
      <c r="Q35" s="51"/>
      <c r="R35" s="54">
        <v>45883.0</v>
      </c>
      <c r="S35" s="48" t="s">
        <v>861</v>
      </c>
      <c r="T35" s="46"/>
      <c r="U35" s="46"/>
      <c r="V35" s="46"/>
      <c r="W35" s="46"/>
      <c r="X35" s="46"/>
      <c r="Y35" s="46"/>
      <c r="Z35" s="46"/>
      <c r="AA35" s="46"/>
      <c r="AB35" s="46"/>
    </row>
    <row r="36" ht="48.0" hidden="1" customHeight="1">
      <c r="A36" s="28" t="s">
        <v>532</v>
      </c>
      <c r="B36" s="47" t="s">
        <v>125</v>
      </c>
      <c r="C36" s="47" t="s">
        <v>247</v>
      </c>
      <c r="D36" s="48" t="s">
        <v>325</v>
      </c>
      <c r="E36" s="49" t="s">
        <v>1178</v>
      </c>
      <c r="F36" s="48" t="str">
        <f>IFERROR(__xludf.DUMMYFUNCTION("IF(D36="""","""",IFERROR(TRIM(REGEXEXTRACT(D36, ""^(.*?)(?:,| - )"")), D36))"),"Pillow Insert 24x24 (Angel Hair)")</f>
        <v>Pillow Insert 24x24 (Angel Hair)</v>
      </c>
      <c r="G36" s="48" t="str">
        <f>IFERROR(__xludf.DUMMYFUNCTION("IF(D36="""","""",IFERROR(TRIM(REGEXEXTRACT(D36, ""(?:,| - )(.*)$"")), """"))"),"")</f>
        <v/>
      </c>
      <c r="H36" s="48" t="s">
        <v>706</v>
      </c>
      <c r="I36" s="48" t="s">
        <v>240</v>
      </c>
      <c r="J36" s="48" t="s">
        <v>239</v>
      </c>
      <c r="K36" s="50">
        <v>16.0</v>
      </c>
      <c r="L36" s="51"/>
      <c r="M36" s="51"/>
      <c r="N36" s="51"/>
      <c r="O36" s="52" t="str">
        <f t="shared" si="1"/>
        <v/>
      </c>
      <c r="P36" s="53" t="str">
        <f t="shared" si="2"/>
        <v/>
      </c>
      <c r="Q36" s="51"/>
      <c r="R36" s="54">
        <v>45883.0</v>
      </c>
      <c r="S36" s="48" t="s">
        <v>861</v>
      </c>
      <c r="T36" s="46"/>
      <c r="U36" s="46"/>
      <c r="V36" s="46"/>
      <c r="W36" s="46"/>
      <c r="X36" s="46"/>
      <c r="Y36" s="46"/>
      <c r="Z36" s="46"/>
      <c r="AA36" s="46"/>
      <c r="AB36" s="46"/>
    </row>
    <row r="37" ht="48.0" hidden="1" customHeight="1">
      <c r="A37" s="28" t="s">
        <v>565</v>
      </c>
      <c r="B37" s="47" t="s">
        <v>125</v>
      </c>
      <c r="C37" s="47" t="s">
        <v>247</v>
      </c>
      <c r="D37" s="48" t="s">
        <v>716</v>
      </c>
      <c r="E37" s="49" t="s">
        <v>1186</v>
      </c>
      <c r="F37" s="48" t="str">
        <f>IFERROR(__xludf.DUMMYFUNCTION("IF(D37="""","""",IFERROR(TRIM(REGEXEXTRACT(D37, ""^(.*?)(?:,| - )"")), D37))"),"Plastic Roll (special)")</f>
        <v>Plastic Roll (special)</v>
      </c>
      <c r="G37" s="48" t="str">
        <f>IFERROR(__xludf.DUMMYFUNCTION("IF(D37="""","""",IFERROR(TRIM(REGEXEXTRACT(D37, ""(?:,| - )(.*)$"")), """"))"),"")</f>
        <v/>
      </c>
      <c r="H37" s="48"/>
      <c r="I37" s="48" t="s">
        <v>240</v>
      </c>
      <c r="J37" s="48" t="s">
        <v>534</v>
      </c>
      <c r="K37" s="50">
        <v>50.0</v>
      </c>
      <c r="L37" s="51"/>
      <c r="M37" s="51"/>
      <c r="N37" s="51"/>
      <c r="O37" s="52" t="str">
        <f t="shared" si="1"/>
        <v/>
      </c>
      <c r="P37" s="53" t="str">
        <f t="shared" si="2"/>
        <v/>
      </c>
      <c r="Q37" s="51"/>
      <c r="R37" s="54">
        <v>45681.0</v>
      </c>
      <c r="S37" s="48" t="s">
        <v>861</v>
      </c>
      <c r="T37" s="46"/>
      <c r="U37" s="46"/>
      <c r="V37" s="46"/>
      <c r="W37" s="46"/>
      <c r="X37" s="46"/>
      <c r="Y37" s="46"/>
      <c r="Z37" s="46"/>
      <c r="AA37" s="46"/>
      <c r="AB37" s="46"/>
    </row>
    <row r="38" ht="48.0" hidden="1" customHeight="1">
      <c r="A38" s="28" t="s">
        <v>1198</v>
      </c>
      <c r="B38" s="47" t="s">
        <v>125</v>
      </c>
      <c r="C38" s="47" t="s">
        <v>247</v>
      </c>
      <c r="D38" s="48" t="s">
        <v>698</v>
      </c>
      <c r="E38" s="49" t="s">
        <v>1202</v>
      </c>
      <c r="F38" s="48" t="str">
        <f>IFERROR(__xludf.DUMMYFUNCTION("IF(D38="""","""",IFERROR(TRIM(REGEXEXTRACT(D38, ""^(.*?)(?:,| - )"")), D38))"),"Plastic Roll 2x12FTx200")</f>
        <v>Plastic Roll 2x12FTx200</v>
      </c>
      <c r="G38" s="48" t="str">
        <f>IFERROR(__xludf.DUMMYFUNCTION("IF(D38="""","""",IFERROR(TRIM(REGEXEXTRACT(D38, ""(?:,| - )(.*)$"")), """"))"),"")</f>
        <v/>
      </c>
      <c r="H38" s="48"/>
      <c r="I38" s="48" t="s">
        <v>240</v>
      </c>
      <c r="J38" s="48" t="s">
        <v>534</v>
      </c>
      <c r="K38" s="50">
        <v>50.0</v>
      </c>
      <c r="L38" s="51"/>
      <c r="M38" s="51"/>
      <c r="N38" s="51"/>
      <c r="O38" s="52" t="str">
        <f t="shared" si="1"/>
        <v/>
      </c>
      <c r="P38" s="53" t="str">
        <f t="shared" si="2"/>
        <v/>
      </c>
      <c r="Q38" s="51"/>
      <c r="R38" s="54">
        <v>45676.0</v>
      </c>
      <c r="S38" s="48" t="s">
        <v>861</v>
      </c>
      <c r="T38" s="46"/>
      <c r="U38" s="46"/>
      <c r="V38" s="46"/>
      <c r="W38" s="46"/>
      <c r="X38" s="46"/>
      <c r="Y38" s="46"/>
      <c r="Z38" s="46"/>
      <c r="AA38" s="46"/>
      <c r="AB38" s="46"/>
    </row>
    <row r="39" ht="48.0" hidden="1" customHeight="1">
      <c r="A39" s="28" t="s">
        <v>611</v>
      </c>
      <c r="B39" s="47" t="s">
        <v>125</v>
      </c>
      <c r="C39" s="47" t="s">
        <v>247</v>
      </c>
      <c r="D39" s="48" t="s">
        <v>355</v>
      </c>
      <c r="E39" s="49" t="s">
        <v>1222</v>
      </c>
      <c r="F39" s="48" t="str">
        <f>IFERROR(__xludf.DUMMYFUNCTION("IF(D39="""","""",IFERROR(TRIM(REGEXEXTRACT(D39, ""^(.*?)(?:,| - )"")), D39))"),"Plastic Sheeting .8 MIL")</f>
        <v>Plastic Sheeting .8 MIL</v>
      </c>
      <c r="G39" s="48" t="str">
        <f>IFERROR(__xludf.DUMMYFUNCTION("IF(D39="""","""",IFERROR(TRIM(REGEXEXTRACT(D39, ""(?:,| - )(.*)$"")), """"))"),"")</f>
        <v/>
      </c>
      <c r="H39" s="48"/>
      <c r="I39" s="48" t="s">
        <v>240</v>
      </c>
      <c r="J39" s="48" t="s">
        <v>1228</v>
      </c>
      <c r="K39" s="50">
        <v>100.0</v>
      </c>
      <c r="L39" s="51"/>
      <c r="M39" s="51"/>
      <c r="N39" s="51"/>
      <c r="O39" s="52" t="str">
        <f t="shared" si="1"/>
        <v/>
      </c>
      <c r="P39" s="53" t="str">
        <f t="shared" si="2"/>
        <v/>
      </c>
      <c r="Q39" s="51"/>
      <c r="R39" s="54">
        <v>45860.0</v>
      </c>
      <c r="S39" s="48" t="s">
        <v>861</v>
      </c>
      <c r="T39" s="46"/>
      <c r="U39" s="46"/>
      <c r="V39" s="46"/>
      <c r="W39" s="46"/>
      <c r="X39" s="46"/>
      <c r="Y39" s="46"/>
      <c r="Z39" s="46"/>
      <c r="AA39" s="46"/>
      <c r="AB39" s="46"/>
    </row>
    <row r="40" ht="48.0" hidden="1" customHeight="1">
      <c r="A40" s="28" t="s">
        <v>604</v>
      </c>
      <c r="B40" s="47" t="s">
        <v>125</v>
      </c>
      <c r="C40" s="47" t="s">
        <v>247</v>
      </c>
      <c r="D40" s="48" t="s">
        <v>939</v>
      </c>
      <c r="E40" s="49" t="s">
        <v>1242</v>
      </c>
      <c r="F40" s="48" t="str">
        <f>IFERROR(__xludf.DUMMYFUNCTION("IF(D40="""","""",IFERROR(TRIM(REGEXEXTRACT(D40, ""^(.*?)(?:,| - )"")), D40))"),"Poly Bags (misc)")</f>
        <v>Poly Bags (misc)</v>
      </c>
      <c r="G40" s="48" t="str">
        <f>IFERROR(__xludf.DUMMYFUNCTION("IF(D40="""","""",IFERROR(TRIM(REGEXEXTRACT(D40, ""(?:,| - )(.*)$"")), """"))"),"")</f>
        <v/>
      </c>
      <c r="H40" s="48"/>
      <c r="I40" s="48" t="s">
        <v>240</v>
      </c>
      <c r="J40" s="48" t="s">
        <v>1244</v>
      </c>
      <c r="K40" s="50">
        <v>100.0</v>
      </c>
      <c r="L40" s="51"/>
      <c r="M40" s="51"/>
      <c r="N40" s="51"/>
      <c r="O40" s="52" t="str">
        <f t="shared" si="1"/>
        <v/>
      </c>
      <c r="P40" s="53" t="str">
        <f t="shared" si="2"/>
        <v/>
      </c>
      <c r="Q40" s="51"/>
      <c r="R40" s="54">
        <v>45826.0</v>
      </c>
      <c r="S40" s="48" t="s">
        <v>861</v>
      </c>
      <c r="T40" s="46"/>
      <c r="U40" s="46"/>
      <c r="V40" s="46"/>
      <c r="W40" s="46"/>
      <c r="X40" s="46"/>
      <c r="Y40" s="46"/>
      <c r="Z40" s="46"/>
      <c r="AA40" s="46"/>
      <c r="AB40" s="46"/>
    </row>
    <row r="41" ht="48.0" hidden="1" customHeight="1">
      <c r="A41" s="28" t="s">
        <v>516</v>
      </c>
      <c r="B41" s="47" t="s">
        <v>125</v>
      </c>
      <c r="C41" s="47" t="s">
        <v>247</v>
      </c>
      <c r="D41" s="48" t="s">
        <v>708</v>
      </c>
      <c r="E41" s="49" t="s">
        <v>1245</v>
      </c>
      <c r="F41" s="48" t="str">
        <f>IFERROR(__xludf.DUMMYFUNCTION("IF(D41="""","""",IFERROR(TRIM(REGEXEXTRACT(D41, ""^(.*?)(?:,| - )"")), D41))"),"Silicone")</f>
        <v>Silicone</v>
      </c>
      <c r="G41" s="48" t="str">
        <f>IFERROR(__xludf.DUMMYFUNCTION("IF(D41="""","""",IFERROR(TRIM(REGEXEXTRACT(D41, ""(?:,| - )(.*)$"")), """"))"),"")</f>
        <v/>
      </c>
      <c r="H41" s="48"/>
      <c r="I41" s="48" t="s">
        <v>240</v>
      </c>
      <c r="J41" s="48" t="s">
        <v>1089</v>
      </c>
      <c r="K41" s="50">
        <v>75.0</v>
      </c>
      <c r="L41" s="51"/>
      <c r="M41" s="51"/>
      <c r="N41" s="51"/>
      <c r="O41" s="52" t="str">
        <f t="shared" si="1"/>
        <v/>
      </c>
      <c r="P41" s="53" t="str">
        <f t="shared" si="2"/>
        <v/>
      </c>
      <c r="Q41" s="51"/>
      <c r="R41" s="54">
        <v>45676.0</v>
      </c>
      <c r="S41" s="48" t="s">
        <v>861</v>
      </c>
      <c r="T41" s="46"/>
      <c r="U41" s="46"/>
      <c r="V41" s="46"/>
      <c r="W41" s="46"/>
      <c r="X41" s="46"/>
      <c r="Y41" s="46"/>
      <c r="Z41" s="46"/>
      <c r="AA41" s="46"/>
      <c r="AB41" s="46"/>
    </row>
    <row r="42" ht="48.0" hidden="1" customHeight="1">
      <c r="A42" s="28" t="s">
        <v>1261</v>
      </c>
      <c r="B42" s="47" t="s">
        <v>125</v>
      </c>
      <c r="C42" s="47" t="s">
        <v>436</v>
      </c>
      <c r="D42" s="48" t="s">
        <v>689</v>
      </c>
      <c r="E42" s="49" t="s">
        <v>1267</v>
      </c>
      <c r="F42" s="48" t="str">
        <f>IFERROR(__xludf.DUMMYFUNCTION("IF(D42="""","""",IFERROR(TRIM(REGEXEXTRACT(D42, ""^(.*?)(?:,| - )"")), D42))"),"White Lining")</f>
        <v>White Lining</v>
      </c>
      <c r="G42" s="48" t="str">
        <f>IFERROR(__xludf.DUMMYFUNCTION("IF(D42="""","""",IFERROR(TRIM(REGEXEXTRACT(D42, ""(?:,| - )(.*)$"")), """"))"),"")</f>
        <v/>
      </c>
      <c r="H42" s="48"/>
      <c r="I42" s="48" t="s">
        <v>240</v>
      </c>
      <c r="J42" s="48" t="s">
        <v>534</v>
      </c>
      <c r="K42" s="50">
        <v>125.0</v>
      </c>
      <c r="L42" s="51"/>
      <c r="M42" s="51"/>
      <c r="N42" s="51"/>
      <c r="O42" s="52" t="str">
        <f t="shared" si="1"/>
        <v/>
      </c>
      <c r="P42" s="53" t="str">
        <f t="shared" si="2"/>
        <v/>
      </c>
      <c r="Q42" s="51"/>
      <c r="R42" s="54">
        <v>45863.0</v>
      </c>
      <c r="S42" s="48" t="s">
        <v>861</v>
      </c>
      <c r="T42" s="46"/>
      <c r="U42" s="46"/>
      <c r="V42" s="46"/>
      <c r="W42" s="46"/>
      <c r="X42" s="46"/>
      <c r="Y42" s="46"/>
      <c r="Z42" s="46"/>
      <c r="AA42" s="46"/>
      <c r="AB42" s="46"/>
    </row>
    <row r="43" ht="48.0" hidden="1" customHeight="1">
      <c r="A43" s="28" t="s">
        <v>1281</v>
      </c>
      <c r="B43" s="47" t="s">
        <v>125</v>
      </c>
      <c r="C43" s="47" t="s">
        <v>436</v>
      </c>
      <c r="D43" s="48" t="s">
        <v>699</v>
      </c>
      <c r="E43" s="49" t="s">
        <v>1284</v>
      </c>
      <c r="F43" s="48" t="str">
        <f>IFERROR(__xludf.DUMMYFUNCTION("IF(D43="""","""",IFERROR(TRIM(REGEXEXTRACT(D43, ""^(.*?)(?:,| - )"")), D43))"),"White Polyester Thread")</f>
        <v>White Polyester Thread</v>
      </c>
      <c r="G43" s="48" t="str">
        <f>IFERROR(__xludf.DUMMYFUNCTION("IF(D43="""","""",IFERROR(TRIM(REGEXEXTRACT(D43, ""(?:,| - )(.*)$"")), """"))"),"")</f>
        <v/>
      </c>
      <c r="H43" s="48" t="s">
        <v>889</v>
      </c>
      <c r="I43" s="48" t="s">
        <v>240</v>
      </c>
      <c r="J43" s="48" t="s">
        <v>1059</v>
      </c>
      <c r="K43" s="50">
        <v>30.0</v>
      </c>
      <c r="L43" s="51"/>
      <c r="M43" s="51"/>
      <c r="N43" s="51"/>
      <c r="O43" s="52" t="str">
        <f t="shared" si="1"/>
        <v/>
      </c>
      <c r="P43" s="53" t="str">
        <f t="shared" si="2"/>
        <v/>
      </c>
      <c r="Q43" s="51"/>
      <c r="R43" s="54">
        <v>45860.0</v>
      </c>
      <c r="S43" s="48" t="s">
        <v>861</v>
      </c>
      <c r="T43" s="46"/>
      <c r="U43" s="46"/>
      <c r="V43" s="46"/>
      <c r="W43" s="46"/>
      <c r="X43" s="46"/>
      <c r="Y43" s="46"/>
      <c r="Z43" s="46"/>
      <c r="AA43" s="46"/>
      <c r="AB43" s="46"/>
    </row>
    <row r="44" ht="48.0" hidden="1" customHeight="1">
      <c r="A44" s="49" t="s">
        <v>1301</v>
      </c>
      <c r="B44" s="47" t="s">
        <v>1304</v>
      </c>
      <c r="C44" s="47" t="s">
        <v>1306</v>
      </c>
      <c r="D44" s="48" t="s">
        <v>227</v>
      </c>
      <c r="E44" s="49" t="s">
        <v>1308</v>
      </c>
      <c r="F44" s="48" t="str">
        <f>IFERROR(__xludf.DUMMYFUNCTION("IF(D44="""","""",IFERROR(TRIM(REGEXEXTRACT(D44, ""^(.*?)(?:,| - )"")), D44))"),"WASHED WHITE KNITS (RAGS)")</f>
        <v>WASHED WHITE KNITS (RAGS)</v>
      </c>
      <c r="G44" s="48" t="str">
        <f>IFERROR(__xludf.DUMMYFUNCTION("IF(D44="""","""",IFERROR(TRIM(REGEXEXTRACT(D44, ""(?:,| - )(.*)$"")), """"))"),"")</f>
        <v/>
      </c>
      <c r="H44" s="48" t="s">
        <v>228</v>
      </c>
      <c r="I44" s="48" t="s">
        <v>78</v>
      </c>
      <c r="J44" s="48" t="s">
        <v>641</v>
      </c>
      <c r="K44" s="50">
        <v>1.55</v>
      </c>
      <c r="L44" s="51"/>
      <c r="M44" s="51"/>
      <c r="N44" s="51"/>
      <c r="O44" s="52"/>
      <c r="P44" s="53"/>
      <c r="Q44" s="51"/>
      <c r="R44" s="54"/>
      <c r="S44" s="48"/>
      <c r="T44" s="46"/>
      <c r="U44" s="46"/>
      <c r="V44" s="46"/>
      <c r="W44" s="46"/>
      <c r="X44" s="46"/>
      <c r="Y44" s="46"/>
      <c r="Z44" s="46"/>
      <c r="AA44" s="46"/>
      <c r="AB44" s="46"/>
    </row>
    <row r="45" ht="48.0" hidden="1" customHeight="1">
      <c r="A45" s="49" t="s">
        <v>1322</v>
      </c>
      <c r="B45" s="47" t="s">
        <v>1304</v>
      </c>
      <c r="C45" s="47" t="s">
        <v>1306</v>
      </c>
      <c r="D45" s="48" t="s">
        <v>225</v>
      </c>
      <c r="E45" s="49" t="s">
        <v>1328</v>
      </c>
      <c r="F45" s="48" t="str">
        <f>IFERROR(__xludf.DUMMYFUNCTION("IF(D45="""","""",IFERROR(TRIM(REGEXEXTRACT(D45, ""^(.*?)(?:,| - )"")), D45))"),"Acetone 100% Virgin")</f>
        <v>Acetone 100% Virgin</v>
      </c>
      <c r="G45" s="48" t="str">
        <f>IFERROR(__xludf.DUMMYFUNCTION("IF(D45="""","""",IFERROR(TRIM(REGEXEXTRACT(D45, ""(?:,| - )(.*)$"")), """"))"),"5 Gal")</f>
        <v>5 Gal</v>
      </c>
      <c r="H45" s="48">
        <v>10.0301</v>
      </c>
      <c r="I45" s="48" t="s">
        <v>176</v>
      </c>
      <c r="J45" s="48" t="s">
        <v>239</v>
      </c>
      <c r="K45" s="50">
        <v>70.0</v>
      </c>
      <c r="L45" s="51"/>
      <c r="M45" s="51">
        <v>1.0</v>
      </c>
      <c r="N45" s="51">
        <v>2.0</v>
      </c>
      <c r="O45" s="52" t="str">
        <f t="shared" ref="O45:O180" si="3">IF(AND(ISNUMBER(L45),ISNUMBER(M45),ISNUMBER(N45)),IF(L45&lt;=M45,MAX(0,N45-L45),0),"")</f>
        <v/>
      </c>
      <c r="P45" s="53" t="str">
        <f t="shared" ref="P45:P180" si="4">IF(AND(ISNUMBER(L45),ISNUMBER(M45)),IF(L45&lt;=M45,"REORDER",""),"")</f>
        <v/>
      </c>
      <c r="Q45" s="51"/>
      <c r="R45" s="54">
        <v>46118.0</v>
      </c>
      <c r="S45" s="48"/>
      <c r="T45" s="46"/>
      <c r="U45" s="46"/>
      <c r="V45" s="46"/>
      <c r="W45" s="46"/>
      <c r="X45" s="46"/>
      <c r="Y45" s="46"/>
      <c r="Z45" s="46"/>
      <c r="AA45" s="46"/>
      <c r="AB45" s="46"/>
    </row>
    <row r="46" ht="48.0" hidden="1" customHeight="1">
      <c r="A46" s="49" t="s">
        <v>1356</v>
      </c>
      <c r="B46" s="47" t="s">
        <v>1304</v>
      </c>
      <c r="C46" s="47" t="s">
        <v>1357</v>
      </c>
      <c r="D46" s="48" t="s">
        <v>213</v>
      </c>
      <c r="E46" s="49" t="s">
        <v>1361</v>
      </c>
      <c r="F46" s="48" t="str">
        <f>IFERROR(__xludf.DUMMYFUNCTION("IF(D46="""","""",IFERROR(TRIM(REGEXEXTRACT(D46, ""^(.*?)(?:,| - )"")), D46))"),"Venom 3-Step Premium Pad")</f>
        <v>Venom 3-Step Premium Pad</v>
      </c>
      <c r="G46" s="48" t="str">
        <f>IFERROR(__xludf.DUMMYFUNCTION("IF(D46="""","""",IFERROR(TRIM(REGEXEXTRACT(D46, ""(?:,| - )(.*)$"")), """"))"),"Step 1")</f>
        <v>Step 1</v>
      </c>
      <c r="H46" s="48" t="s">
        <v>862</v>
      </c>
      <c r="I46" s="48" t="s">
        <v>176</v>
      </c>
      <c r="J46" s="48" t="s">
        <v>239</v>
      </c>
      <c r="K46" s="50">
        <v>19.95</v>
      </c>
      <c r="L46" s="51"/>
      <c r="M46" s="51">
        <v>3.0</v>
      </c>
      <c r="N46" s="51">
        <v>6.0</v>
      </c>
      <c r="O46" s="52" t="str">
        <f t="shared" si="3"/>
        <v/>
      </c>
      <c r="P46" s="53" t="str">
        <f t="shared" si="4"/>
        <v/>
      </c>
      <c r="Q46" s="51"/>
      <c r="R46" s="54">
        <v>45874.0</v>
      </c>
      <c r="S46" s="48"/>
      <c r="T46" s="46"/>
      <c r="U46" s="46"/>
      <c r="V46" s="46"/>
      <c r="W46" s="46"/>
      <c r="X46" s="46"/>
      <c r="Y46" s="46"/>
      <c r="Z46" s="46"/>
      <c r="AA46" s="46"/>
      <c r="AB46" s="46"/>
    </row>
    <row r="47" ht="48.0" hidden="1" customHeight="1">
      <c r="A47" s="49" t="s">
        <v>1374</v>
      </c>
      <c r="B47" s="47" t="s">
        <v>1304</v>
      </c>
      <c r="C47" s="47" t="s">
        <v>1357</v>
      </c>
      <c r="D47" s="48" t="s">
        <v>974</v>
      </c>
      <c r="E47" s="49" t="s">
        <v>1378</v>
      </c>
      <c r="F47" s="48" t="str">
        <f>IFERROR(__xludf.DUMMYFUNCTION("IF(D47="""","""",IFERROR(TRIM(REGEXEXTRACT(D47, ""^(.*?)(?:,| - )"")), D47))"),"Venom 3-Step Premium Pad")</f>
        <v>Venom 3-Step Premium Pad</v>
      </c>
      <c r="G47" s="48" t="str">
        <f>IFERROR(__xludf.DUMMYFUNCTION("IF(D47="""","""",IFERROR(TRIM(REGEXEXTRACT(D47, ""(?:,| - )(.*)$"")), """"))"),"Step 2")</f>
        <v>Step 2</v>
      </c>
      <c r="H47" s="48" t="s">
        <v>975</v>
      </c>
      <c r="I47" s="48" t="s">
        <v>176</v>
      </c>
      <c r="J47" s="48" t="s">
        <v>239</v>
      </c>
      <c r="K47" s="50">
        <v>19.95</v>
      </c>
      <c r="L47" s="51"/>
      <c r="M47" s="51">
        <v>3.0</v>
      </c>
      <c r="N47" s="51">
        <v>6.0</v>
      </c>
      <c r="O47" s="52" t="str">
        <f t="shared" si="3"/>
        <v/>
      </c>
      <c r="P47" s="53" t="str">
        <f t="shared" si="4"/>
        <v/>
      </c>
      <c r="Q47" s="51"/>
      <c r="R47" s="54">
        <v>45874.0</v>
      </c>
      <c r="S47" s="48"/>
      <c r="T47" s="46"/>
      <c r="U47" s="46"/>
      <c r="V47" s="46"/>
      <c r="W47" s="46"/>
      <c r="X47" s="46"/>
      <c r="Y47" s="46"/>
      <c r="Z47" s="46"/>
      <c r="AA47" s="46"/>
      <c r="AB47" s="46"/>
    </row>
    <row r="48" ht="48.0" hidden="1" customHeight="1">
      <c r="A48" s="49" t="s">
        <v>1389</v>
      </c>
      <c r="B48" s="47" t="s">
        <v>1304</v>
      </c>
      <c r="C48" s="47" t="s">
        <v>1357</v>
      </c>
      <c r="D48" s="48" t="s">
        <v>976</v>
      </c>
      <c r="E48" s="49" t="s">
        <v>1392</v>
      </c>
      <c r="F48" s="48" t="str">
        <f>IFERROR(__xludf.DUMMYFUNCTION("IF(D48="""","""",IFERROR(TRIM(REGEXEXTRACT(D48, ""^(.*?)(?:,| - )"")), D48))"),"Venom 3-Step Premium Pad")</f>
        <v>Venom 3-Step Premium Pad</v>
      </c>
      <c r="G48" s="48" t="str">
        <f>IFERROR(__xludf.DUMMYFUNCTION("IF(D48="""","""",IFERROR(TRIM(REGEXEXTRACT(D48, ""(?:,| - )(.*)$"")), """"))"),"Step 3")</f>
        <v>Step 3</v>
      </c>
      <c r="H48" s="48" t="s">
        <v>977</v>
      </c>
      <c r="I48" s="48" t="s">
        <v>176</v>
      </c>
      <c r="J48" s="48" t="s">
        <v>239</v>
      </c>
      <c r="K48" s="50">
        <v>19.95</v>
      </c>
      <c r="L48" s="51"/>
      <c r="M48" s="51">
        <v>3.0</v>
      </c>
      <c r="N48" s="51">
        <v>6.0</v>
      </c>
      <c r="O48" s="52" t="str">
        <f t="shared" si="3"/>
        <v/>
      </c>
      <c r="P48" s="53" t="str">
        <f t="shared" si="4"/>
        <v/>
      </c>
      <c r="Q48" s="51"/>
      <c r="R48" s="54">
        <v>45874.0</v>
      </c>
      <c r="S48" s="48"/>
      <c r="T48" s="46"/>
      <c r="U48" s="46"/>
      <c r="V48" s="46"/>
      <c r="W48" s="46"/>
      <c r="X48" s="46"/>
      <c r="Y48" s="46"/>
      <c r="Z48" s="46"/>
      <c r="AA48" s="46"/>
      <c r="AB48" s="46"/>
    </row>
    <row r="49" ht="48.0" hidden="1" customHeight="1">
      <c r="A49" s="49" t="s">
        <v>1408</v>
      </c>
      <c r="B49" s="47" t="s">
        <v>1304</v>
      </c>
      <c r="C49" s="47" t="s">
        <v>1306</v>
      </c>
      <c r="D49" s="48" t="s">
        <v>523</v>
      </c>
      <c r="E49" s="49" t="s">
        <v>1410</v>
      </c>
      <c r="F49" s="48" t="str">
        <f>IFERROR(__xludf.DUMMYFUNCTION("IF(D49="""","""",IFERROR(TRIM(REGEXEXTRACT(D49, ""^(.*?)(?:,| - )"")), D49))"),"XSPEED Rigid Backer Pad")</f>
        <v>XSPEED Rigid Backer Pad</v>
      </c>
      <c r="G49" s="48" t="str">
        <f>IFERROR(__xludf.DUMMYFUNCTION("IF(D49="""","""",IFERROR(TRIM(REGEXEXTRACT(D49, ""(?:,| - )(.*)$"")), """"))"),"4 in Blue")</f>
        <v>4 in Blue</v>
      </c>
      <c r="H49" s="48" t="s">
        <v>524</v>
      </c>
      <c r="I49" s="48" t="s">
        <v>176</v>
      </c>
      <c r="J49" s="48" t="s">
        <v>239</v>
      </c>
      <c r="K49" s="50">
        <v>15.0</v>
      </c>
      <c r="L49" s="51"/>
      <c r="M49" s="51">
        <v>1.0</v>
      </c>
      <c r="N49" s="51">
        <v>2.0</v>
      </c>
      <c r="O49" s="52" t="str">
        <f t="shared" si="3"/>
        <v/>
      </c>
      <c r="P49" s="53" t="str">
        <f t="shared" si="4"/>
        <v/>
      </c>
      <c r="Q49" s="51"/>
      <c r="R49" s="54">
        <v>45532.0</v>
      </c>
      <c r="S49" s="48"/>
      <c r="T49" s="46"/>
      <c r="U49" s="46"/>
      <c r="V49" s="46"/>
      <c r="W49" s="46"/>
      <c r="X49" s="46"/>
      <c r="Y49" s="46"/>
      <c r="Z49" s="46"/>
      <c r="AA49" s="46"/>
      <c r="AB49" s="46"/>
    </row>
    <row r="50" ht="48.0" hidden="1" customHeight="1">
      <c r="A50" s="49" t="s">
        <v>1427</v>
      </c>
      <c r="B50" s="47" t="s">
        <v>1304</v>
      </c>
      <c r="C50" s="47" t="s">
        <v>1306</v>
      </c>
      <c r="D50" s="48" t="s">
        <v>256</v>
      </c>
      <c r="E50" s="49" t="s">
        <v>1432</v>
      </c>
      <c r="F50" s="48" t="str">
        <f>IFERROR(__xludf.DUMMYFUNCTION("IF(D50="""","""",IFERROR(TRIM(REGEXEXTRACT(D50, ""^(.*?)(?:,| - )"")), D50))"),"Vacuum Brazed Cup Wheel")</f>
        <v>Vacuum Brazed Cup Wheel</v>
      </c>
      <c r="G50" s="48" t="str">
        <f>IFERROR(__xludf.DUMMYFUNCTION("IF(D50="""","""",IFERROR(TRIM(REGEXEXTRACT(D50, ""(?:,| - )(.*)$"")), """"))"),"4 in (Medium)")</f>
        <v>4 in (Medium)</v>
      </c>
      <c r="H50" s="48">
        <v>20.0115</v>
      </c>
      <c r="I50" s="48" t="s">
        <v>176</v>
      </c>
      <c r="J50" s="48" t="s">
        <v>239</v>
      </c>
      <c r="K50" s="50">
        <v>48.0</v>
      </c>
      <c r="L50" s="51"/>
      <c r="M50" s="51">
        <v>2.0</v>
      </c>
      <c r="N50" s="51">
        <v>4.0</v>
      </c>
      <c r="O50" s="52" t="str">
        <f t="shared" si="3"/>
        <v/>
      </c>
      <c r="P50" s="53" t="str">
        <f t="shared" si="4"/>
        <v/>
      </c>
      <c r="Q50" s="51"/>
      <c r="R50" s="54">
        <v>46078.0</v>
      </c>
      <c r="S50" s="48"/>
      <c r="T50" s="46"/>
      <c r="U50" s="46"/>
      <c r="V50" s="46"/>
      <c r="W50" s="46"/>
      <c r="X50" s="46"/>
      <c r="Y50" s="46"/>
      <c r="Z50" s="46"/>
      <c r="AA50" s="46"/>
      <c r="AB50" s="46"/>
    </row>
    <row r="51" ht="48.0" hidden="1" customHeight="1">
      <c r="A51" s="49" t="s">
        <v>1447</v>
      </c>
      <c r="B51" s="47" t="s">
        <v>1304</v>
      </c>
      <c r="C51" s="47" t="s">
        <v>1306</v>
      </c>
      <c r="D51" s="48" t="s">
        <v>1449</v>
      </c>
      <c r="E51" s="49" t="s">
        <v>1450</v>
      </c>
      <c r="F51" s="48" t="str">
        <f>IFERROR(__xludf.DUMMYFUNCTION("IF(D51="""","""",IFERROR(TRIM(REGEXEXTRACT(D51, ""^(.*?)(?:,| - )"")), D51))"),"Premium Resin-Filled Cup Wheel")</f>
        <v>Premium Resin-Filled Cup Wheel</v>
      </c>
      <c r="G51" s="48" t="str">
        <f>IFERROR(__xludf.DUMMYFUNCTION("IF(D51="""","""",IFERROR(TRIM(REGEXEXTRACT(D51, ""(?:,| - )(.*)$"")), """"))"),"4 in (Fine)")</f>
        <v>4 in (Fine)</v>
      </c>
      <c r="H51" s="48" t="s">
        <v>1453</v>
      </c>
      <c r="I51" s="48" t="s">
        <v>176</v>
      </c>
      <c r="J51" s="48" t="s">
        <v>239</v>
      </c>
      <c r="K51" s="50">
        <v>65.0</v>
      </c>
      <c r="L51" s="51"/>
      <c r="M51" s="51">
        <v>1.0</v>
      </c>
      <c r="N51" s="51">
        <v>2.0</v>
      </c>
      <c r="O51" s="52" t="str">
        <f t="shared" si="3"/>
        <v/>
      </c>
      <c r="P51" s="53" t="str">
        <f t="shared" si="4"/>
        <v/>
      </c>
      <c r="Q51" s="51"/>
      <c r="R51" s="54">
        <v>46162.0</v>
      </c>
      <c r="S51" s="48"/>
      <c r="T51" s="46"/>
      <c r="U51" s="46"/>
      <c r="V51" s="46"/>
      <c r="W51" s="46"/>
      <c r="X51" s="46"/>
      <c r="Y51" s="46"/>
      <c r="Z51" s="46"/>
      <c r="AA51" s="46"/>
      <c r="AB51" s="46"/>
    </row>
    <row r="52" ht="48.0" hidden="1" customHeight="1">
      <c r="A52" s="49" t="s">
        <v>1469</v>
      </c>
      <c r="B52" s="47" t="s">
        <v>1304</v>
      </c>
      <c r="C52" s="47" t="s">
        <v>1357</v>
      </c>
      <c r="D52" s="48" t="s">
        <v>635</v>
      </c>
      <c r="E52" s="49" t="s">
        <v>1474</v>
      </c>
      <c r="F52" s="48" t="str">
        <f>IFERROR(__xludf.DUMMYFUNCTION("IF(D52="""","""",IFERROR(TRIM(REGEXEXTRACT(D52, ""^(.*?)(?:,| - )"")), D52))"),"Tenax Baby Tiger")</f>
        <v>Tenax Baby Tiger</v>
      </c>
      <c r="G52" s="48" t="str">
        <f>IFERROR(__xludf.DUMMYFUNCTION("IF(D52="""","""",IFERROR(TRIM(REGEXEXTRACT(D52, ""(?:,| - )(.*)$"")), """"))"),".25 LT")</f>
        <v>.25 LT</v>
      </c>
      <c r="H52" s="48" t="s">
        <v>637</v>
      </c>
      <c r="I52" s="48" t="s">
        <v>176</v>
      </c>
      <c r="J52" s="48" t="s">
        <v>239</v>
      </c>
      <c r="K52" s="50">
        <v>34.5</v>
      </c>
      <c r="L52" s="51"/>
      <c r="M52" s="51">
        <v>1.0</v>
      </c>
      <c r="N52" s="51">
        <v>2.0</v>
      </c>
      <c r="O52" s="52" t="str">
        <f t="shared" si="3"/>
        <v/>
      </c>
      <c r="P52" s="53" t="str">
        <f t="shared" si="4"/>
        <v/>
      </c>
      <c r="Q52" s="51"/>
      <c r="R52" s="54">
        <v>45663.0</v>
      </c>
      <c r="S52" s="48"/>
      <c r="T52" s="46"/>
      <c r="U52" s="46"/>
      <c r="V52" s="46"/>
      <c r="W52" s="46"/>
      <c r="X52" s="46"/>
      <c r="Y52" s="46"/>
      <c r="Z52" s="46"/>
      <c r="AA52" s="46"/>
      <c r="AB52" s="46"/>
    </row>
    <row r="53" ht="48.0" hidden="1" customHeight="1">
      <c r="A53" s="49" t="s">
        <v>1489</v>
      </c>
      <c r="B53" s="47" t="s">
        <v>1304</v>
      </c>
      <c r="C53" s="47" t="s">
        <v>1306</v>
      </c>
      <c r="D53" s="48" t="s">
        <v>174</v>
      </c>
      <c r="E53" s="49" t="s">
        <v>1492</v>
      </c>
      <c r="F53" s="48" t="str">
        <f>IFERROR(__xludf.DUMMYFUNCTION("IF(D53="""","""",IFERROR(TRIM(REGEXEXTRACT(D53, ""^(.*?)(?:,| - )"")), D53))"),"Bio Seal Clear Silicone 100% RTV")</f>
        <v>Bio Seal Clear Silicone 100% RTV</v>
      </c>
      <c r="G53" s="48" t="str">
        <f>IFERROR(__xludf.DUMMYFUNCTION("IF(D53="""","""",IFERROR(TRIM(REGEXEXTRACT(D53, ""(?:,| - )(.*)$"")), """"))"),"")</f>
        <v/>
      </c>
      <c r="H53" s="48">
        <v>80.8943</v>
      </c>
      <c r="I53" s="48" t="s">
        <v>176</v>
      </c>
      <c r="J53" s="48" t="s">
        <v>239</v>
      </c>
      <c r="K53" s="50">
        <v>6.95</v>
      </c>
      <c r="L53" s="51"/>
      <c r="M53" s="51">
        <v>25.0</v>
      </c>
      <c r="N53" s="51">
        <v>50.0</v>
      </c>
      <c r="O53" s="52" t="str">
        <f t="shared" si="3"/>
        <v/>
      </c>
      <c r="P53" s="53" t="str">
        <f t="shared" si="4"/>
        <v/>
      </c>
      <c r="Q53" s="51"/>
      <c r="R53" s="54">
        <v>46118.0</v>
      </c>
      <c r="S53" s="48"/>
      <c r="T53" s="46"/>
      <c r="U53" s="46"/>
      <c r="V53" s="46"/>
      <c r="W53" s="46"/>
      <c r="X53" s="46"/>
      <c r="Y53" s="46"/>
      <c r="Z53" s="46"/>
      <c r="AA53" s="46"/>
      <c r="AB53" s="46"/>
    </row>
    <row r="54" ht="48.0" hidden="1" customHeight="1">
      <c r="A54" s="49" t="s">
        <v>1508</v>
      </c>
      <c r="B54" s="47" t="s">
        <v>1304</v>
      </c>
      <c r="C54" s="47" t="s">
        <v>1306</v>
      </c>
      <c r="D54" s="48" t="s">
        <v>1320</v>
      </c>
      <c r="E54" s="49" t="s">
        <v>1514</v>
      </c>
      <c r="F54" s="48" t="str">
        <f>IFERROR(__xludf.DUMMYFUNCTION("IF(D54="""","""",IFERROR(TRIM(REGEXEXTRACT(D54, ""^(.*?)(?:,| - )"")), D54))"),"K-Bond 10pc Colorant Set")</f>
        <v>K-Bond 10pc Colorant Set</v>
      </c>
      <c r="G54" s="48" t="str">
        <f>IFERROR(__xludf.DUMMYFUNCTION("IF(D54="""","""",IFERROR(TRIM(REGEXEXTRACT(D54, ""(?:,| - )(.*)$"")), """"))"),"")</f>
        <v/>
      </c>
      <c r="H54" s="48">
        <v>10.0115</v>
      </c>
      <c r="I54" s="48" t="s">
        <v>176</v>
      </c>
      <c r="J54" s="48" t="s">
        <v>239</v>
      </c>
      <c r="K54" s="50">
        <v>70.87</v>
      </c>
      <c r="L54" s="51"/>
      <c r="M54" s="51">
        <v>1.0</v>
      </c>
      <c r="N54" s="51">
        <v>2.0</v>
      </c>
      <c r="O54" s="52" t="str">
        <f t="shared" si="3"/>
        <v/>
      </c>
      <c r="P54" s="53" t="str">
        <f t="shared" si="4"/>
        <v/>
      </c>
      <c r="Q54" s="51"/>
      <c r="R54" s="54">
        <v>45999.0</v>
      </c>
      <c r="S54" s="48"/>
      <c r="T54" s="46"/>
      <c r="U54" s="46"/>
      <c r="V54" s="46"/>
      <c r="W54" s="46"/>
      <c r="X54" s="46"/>
      <c r="Y54" s="46"/>
      <c r="Z54" s="46"/>
      <c r="AA54" s="46"/>
      <c r="AB54" s="46"/>
    </row>
    <row r="55" ht="48.0" hidden="1" customHeight="1">
      <c r="A55" s="49" t="s">
        <v>1529</v>
      </c>
      <c r="B55" s="47" t="s">
        <v>1304</v>
      </c>
      <c r="C55" s="47" t="s">
        <v>1306</v>
      </c>
      <c r="D55" s="48" t="s">
        <v>301</v>
      </c>
      <c r="E55" s="49" t="s">
        <v>1533</v>
      </c>
      <c r="F55" s="48" t="str">
        <f>IFERROR(__xludf.DUMMYFUNCTION("IF(D55="""","""",IFERROR(TRIM(REGEXEXTRACT(D55, ""^(.*?)(?:,| - )"")), D55))"),"Vacuum Brazed / Electroplated Core Bit")</f>
        <v>Vacuum Brazed / Electroplated Core Bit</v>
      </c>
      <c r="G55" s="48" t="str">
        <f>IFERROR(__xludf.DUMMYFUNCTION("IF(D55="""","""",IFERROR(TRIM(REGEXEXTRACT(D55, ""(?:,| - )(.*)$"")), """"))"),"1-3/8 in")</f>
        <v>1-3/8 in</v>
      </c>
      <c r="H55" s="48">
        <v>20.5589</v>
      </c>
      <c r="I55" s="48" t="s">
        <v>176</v>
      </c>
      <c r="J55" s="48" t="s">
        <v>239</v>
      </c>
      <c r="K55" s="50">
        <v>69.99</v>
      </c>
      <c r="L55" s="51"/>
      <c r="M55" s="51">
        <v>1.0</v>
      </c>
      <c r="N55" s="51">
        <v>2.0</v>
      </c>
      <c r="O55" s="52" t="str">
        <f t="shared" si="3"/>
        <v/>
      </c>
      <c r="P55" s="53" t="str">
        <f t="shared" si="4"/>
        <v/>
      </c>
      <c r="Q55" s="51"/>
      <c r="R55" s="54">
        <v>46132.0</v>
      </c>
      <c r="S55" s="48"/>
      <c r="T55" s="46"/>
      <c r="U55" s="46"/>
      <c r="V55" s="46"/>
      <c r="W55" s="46"/>
      <c r="X55" s="46"/>
      <c r="Y55" s="46"/>
      <c r="Z55" s="46"/>
      <c r="AA55" s="46"/>
      <c r="AB55" s="46"/>
    </row>
    <row r="56" ht="48.0" hidden="1" customHeight="1">
      <c r="A56" s="49" t="s">
        <v>1540</v>
      </c>
      <c r="B56" s="47" t="s">
        <v>1304</v>
      </c>
      <c r="C56" s="47" t="s">
        <v>1306</v>
      </c>
      <c r="D56" s="48" t="s">
        <v>1543</v>
      </c>
      <c r="E56" s="49" t="s">
        <v>1544</v>
      </c>
      <c r="F56" s="48" t="str">
        <f>IFERROR(__xludf.DUMMYFUNCTION("IF(D56="""","""",IFERROR(TRIM(REGEXEXTRACT(D56, ""^(.*?)(?:,| - )"")), D56))"),"Zenesis Thin-Wall Core Bit")</f>
        <v>Zenesis Thin-Wall Core Bit</v>
      </c>
      <c r="G56" s="48" t="str">
        <f>IFERROR(__xludf.DUMMYFUNCTION("IF(D56="""","""",IFERROR(TRIM(REGEXEXTRACT(D56, ""(?:,| - )(.*)$"")), """"))"),"1 in")</f>
        <v>1 in</v>
      </c>
      <c r="H56" s="48" t="s">
        <v>1547</v>
      </c>
      <c r="I56" s="48" t="s">
        <v>176</v>
      </c>
      <c r="J56" s="48" t="s">
        <v>239</v>
      </c>
      <c r="K56" s="50">
        <v>53.17</v>
      </c>
      <c r="L56" s="51"/>
      <c r="M56" s="51">
        <v>1.0</v>
      </c>
      <c r="N56" s="51">
        <v>2.0</v>
      </c>
      <c r="O56" s="52" t="str">
        <f t="shared" si="3"/>
        <v/>
      </c>
      <c r="P56" s="53" t="str">
        <f t="shared" si="4"/>
        <v/>
      </c>
      <c r="Q56" s="51"/>
      <c r="R56" s="54">
        <v>46132.0</v>
      </c>
      <c r="S56" s="48"/>
      <c r="T56" s="46"/>
      <c r="U56" s="46"/>
      <c r="V56" s="46"/>
      <c r="W56" s="46"/>
      <c r="X56" s="46"/>
      <c r="Y56" s="46"/>
      <c r="Z56" s="46"/>
      <c r="AA56" s="46"/>
      <c r="AB56" s="46"/>
    </row>
    <row r="57" ht="48.0" hidden="1" customHeight="1">
      <c r="A57" s="49" t="s">
        <v>1561</v>
      </c>
      <c r="B57" s="47" t="s">
        <v>1304</v>
      </c>
      <c r="C57" s="47" t="s">
        <v>1563</v>
      </c>
      <c r="D57" s="48" t="s">
        <v>220</v>
      </c>
      <c r="E57" s="49" t="s">
        <v>1567</v>
      </c>
      <c r="F57" s="48" t="str">
        <f>IFERROR(__xludf.DUMMYFUNCTION("IF(D57="""","""",IFERROR(TRIM(REGEXEXTRACT(D57, ""^(.*?)(?:,| - )"")), D57))"),"DekCut Dekton/Ultracompact Blade")</f>
        <v>DekCut Dekton/Ultracompact Blade</v>
      </c>
      <c r="G57" s="48" t="str">
        <f>IFERROR(__xludf.DUMMYFUNCTION("IF(D57="""","""",IFERROR(TRIM(REGEXEXTRACT(D57, ""(?:,| - )(.*)$"")), """"))"),"16 in")</f>
        <v>16 in</v>
      </c>
      <c r="H57" s="48">
        <v>20.6336</v>
      </c>
      <c r="I57" s="48" t="s">
        <v>176</v>
      </c>
      <c r="J57" s="48" t="s">
        <v>239</v>
      </c>
      <c r="K57" s="50">
        <v>275.0</v>
      </c>
      <c r="L57" s="51"/>
      <c r="M57" s="51">
        <v>2.0</v>
      </c>
      <c r="N57" s="51">
        <v>4.0</v>
      </c>
      <c r="O57" s="52" t="str">
        <f t="shared" si="3"/>
        <v/>
      </c>
      <c r="P57" s="53" t="str">
        <f t="shared" si="4"/>
        <v/>
      </c>
      <c r="Q57" s="51"/>
      <c r="R57" s="54">
        <v>46176.0</v>
      </c>
      <c r="S57" s="48"/>
      <c r="T57" s="46"/>
      <c r="U57" s="46"/>
      <c r="V57" s="46"/>
      <c r="W57" s="46"/>
      <c r="X57" s="46"/>
      <c r="Y57" s="46"/>
      <c r="Z57" s="46"/>
      <c r="AA57" s="46"/>
      <c r="AB57" s="46"/>
    </row>
    <row r="58" ht="48.0" hidden="1" customHeight="1">
      <c r="A58" s="49" t="s">
        <v>1587</v>
      </c>
      <c r="B58" s="47" t="s">
        <v>1304</v>
      </c>
      <c r="C58" s="47" t="s">
        <v>1306</v>
      </c>
      <c r="D58" s="48" t="s">
        <v>304</v>
      </c>
      <c r="E58" s="49" t="s">
        <v>1594</v>
      </c>
      <c r="F58" s="48" t="str">
        <f>IFERROR(__xludf.DUMMYFUNCTION("IF(D58="""","""",IFERROR(TRIM(REGEXEXTRACT(D58, ""^(.*?)(?:,| - )"")), D58))"),"Zenesis Nano Blade")</f>
        <v>Zenesis Nano Blade</v>
      </c>
      <c r="G58" s="48" t="str">
        <f>IFERROR(__xludf.DUMMYFUNCTION("IF(D58="""","""",IFERROR(TRIM(REGEXEXTRACT(D58, ""(?:,| - )(.*)$"")), """"))"),"5 in")</f>
        <v>5 in</v>
      </c>
      <c r="H58" s="48">
        <v>20.2586</v>
      </c>
      <c r="I58" s="48" t="s">
        <v>176</v>
      </c>
      <c r="J58" s="48" t="s">
        <v>239</v>
      </c>
      <c r="K58" s="50">
        <v>31.1</v>
      </c>
      <c r="L58" s="51"/>
      <c r="M58" s="51">
        <v>1.0</v>
      </c>
      <c r="N58" s="51">
        <v>2.0</v>
      </c>
      <c r="O58" s="52" t="str">
        <f t="shared" si="3"/>
        <v/>
      </c>
      <c r="P58" s="53" t="str">
        <f t="shared" si="4"/>
        <v/>
      </c>
      <c r="Q58" s="51"/>
      <c r="R58" s="54">
        <v>45999.0</v>
      </c>
      <c r="S58" s="48"/>
      <c r="T58" s="46"/>
      <c r="U58" s="46"/>
      <c r="V58" s="46"/>
      <c r="W58" s="46"/>
      <c r="X58" s="46"/>
      <c r="Y58" s="46"/>
      <c r="Z58" s="46"/>
      <c r="AA58" s="46"/>
      <c r="AB58" s="46"/>
    </row>
    <row r="59" ht="48.0" hidden="1" customHeight="1">
      <c r="A59" s="49" t="s">
        <v>1607</v>
      </c>
      <c r="B59" s="47" t="s">
        <v>1304</v>
      </c>
      <c r="C59" s="47" t="s">
        <v>1306</v>
      </c>
      <c r="D59" s="48" t="s">
        <v>1613</v>
      </c>
      <c r="E59" s="49" t="s">
        <v>1615</v>
      </c>
      <c r="F59" s="48" t="str">
        <f>IFERROR(__xludf.DUMMYFUNCTION("IF(D59="""","""",IFERROR(TRIM(REGEXEXTRACT(D59, ""^(.*?)(?:,| - )"")), D59))"),"Green Bee Turbo Blade")</f>
        <v>Green Bee Turbo Blade</v>
      </c>
      <c r="G59" s="48" t="str">
        <f>IFERROR(__xludf.DUMMYFUNCTION("IF(D59="""","""",IFERROR(TRIM(REGEXEXTRACT(D59, ""(?:,| - )(.*)$"")), """"))"),"6 in")</f>
        <v>6 in</v>
      </c>
      <c r="H59" s="48">
        <v>20.2606</v>
      </c>
      <c r="I59" s="48" t="s">
        <v>176</v>
      </c>
      <c r="J59" s="48" t="s">
        <v>239</v>
      </c>
      <c r="K59" s="50">
        <v>29.75</v>
      </c>
      <c r="L59" s="51"/>
      <c r="M59" s="51">
        <v>1.0</v>
      </c>
      <c r="N59" s="51">
        <v>2.0</v>
      </c>
      <c r="O59" s="52" t="str">
        <f t="shared" si="3"/>
        <v/>
      </c>
      <c r="P59" s="53" t="str">
        <f t="shared" si="4"/>
        <v/>
      </c>
      <c r="Q59" s="51"/>
      <c r="R59" s="54">
        <v>46162.0</v>
      </c>
      <c r="S59" s="48"/>
      <c r="T59" s="46"/>
      <c r="U59" s="46"/>
      <c r="V59" s="46"/>
      <c r="W59" s="46"/>
      <c r="X59" s="46"/>
      <c r="Y59" s="46"/>
      <c r="Z59" s="46"/>
      <c r="AA59" s="46"/>
      <c r="AB59" s="46"/>
    </row>
    <row r="60" ht="48.0" hidden="1" customHeight="1">
      <c r="A60" s="49" t="s">
        <v>1631</v>
      </c>
      <c r="B60" s="47" t="s">
        <v>1304</v>
      </c>
      <c r="C60" s="47" t="s">
        <v>1306</v>
      </c>
      <c r="D60" s="48" t="s">
        <v>184</v>
      </c>
      <c r="E60" s="49" t="s">
        <v>1636</v>
      </c>
      <c r="F60" s="48" t="str">
        <f>IFERROR(__xludf.DUMMYFUNCTION("IF(D60="""","""",IFERROR(TRIM(REGEXEXTRACT(D60, ""^(.*?)(?:,| - )"")), D60))"),"Multi-Purpose Tape Green")</f>
        <v>Multi-Purpose Tape Green</v>
      </c>
      <c r="G60" s="48" t="str">
        <f>IFERROR(__xludf.DUMMYFUNCTION("IF(D60="""","""",IFERROR(TRIM(REGEXEXTRACT(D60, ""(?:,| - )(.*)$"")), """"))"),"2 in")</f>
        <v>2 in</v>
      </c>
      <c r="H60" s="48" t="s">
        <v>1488</v>
      </c>
      <c r="I60" s="48" t="s">
        <v>176</v>
      </c>
      <c r="J60" s="48" t="s">
        <v>239</v>
      </c>
      <c r="K60" s="50">
        <v>8.99</v>
      </c>
      <c r="L60" s="51"/>
      <c r="M60" s="51">
        <v>6.0</v>
      </c>
      <c r="N60" s="51">
        <v>12.0</v>
      </c>
      <c r="O60" s="52" t="str">
        <f t="shared" si="3"/>
        <v/>
      </c>
      <c r="P60" s="53" t="str">
        <f t="shared" si="4"/>
        <v/>
      </c>
      <c r="Q60" s="51"/>
      <c r="R60" s="54">
        <v>46132.0</v>
      </c>
      <c r="S60" s="48"/>
      <c r="T60" s="46"/>
      <c r="U60" s="46"/>
      <c r="V60" s="46"/>
      <c r="W60" s="46"/>
      <c r="X60" s="46"/>
      <c r="Y60" s="46"/>
      <c r="Z60" s="46"/>
      <c r="AA60" s="46"/>
      <c r="AB60" s="46"/>
    </row>
    <row r="61" ht="48.0" hidden="1" customHeight="1">
      <c r="A61" s="49" t="s">
        <v>1651</v>
      </c>
      <c r="B61" s="47" t="s">
        <v>1304</v>
      </c>
      <c r="C61" s="47" t="s">
        <v>1306</v>
      </c>
      <c r="D61" s="48" t="s">
        <v>539</v>
      </c>
      <c r="E61" s="49" t="s">
        <v>1657</v>
      </c>
      <c r="F61" s="48" t="str">
        <f>IFERROR(__xludf.DUMMYFUNCTION("IF(D61="""","""",IFERROR(TRIM(REGEXEXTRACT(D61, ""^(.*?)(?:,| - )"")), D61))"),"Velcro Sandpaper 4 in 50ct (80/120 grit)")</f>
        <v>Velcro Sandpaper 4 in 50ct (80/120 grit)</v>
      </c>
      <c r="G61" s="48" t="str">
        <f>IFERROR(__xludf.DUMMYFUNCTION("IF(D61="""","""",IFERROR(TRIM(REGEXEXTRACT(D61, ""(?:,| - )(.*)$"")), """"))"),"")</f>
        <v/>
      </c>
      <c r="H61" s="48">
        <v>50.0018</v>
      </c>
      <c r="I61" s="48" t="s">
        <v>176</v>
      </c>
      <c r="J61" s="48" t="s">
        <v>239</v>
      </c>
      <c r="K61" s="50">
        <v>22.0</v>
      </c>
      <c r="L61" s="51"/>
      <c r="M61" s="51">
        <v>2.0</v>
      </c>
      <c r="N61" s="51">
        <v>4.0</v>
      </c>
      <c r="O61" s="52" t="str">
        <f t="shared" si="3"/>
        <v/>
      </c>
      <c r="P61" s="53" t="str">
        <f t="shared" si="4"/>
        <v/>
      </c>
      <c r="Q61" s="51"/>
      <c r="R61" s="54">
        <v>45532.0</v>
      </c>
      <c r="S61" s="48"/>
      <c r="T61" s="46"/>
      <c r="U61" s="46"/>
      <c r="V61" s="46"/>
      <c r="W61" s="46"/>
      <c r="X61" s="46"/>
      <c r="Y61" s="46"/>
      <c r="Z61" s="46"/>
      <c r="AA61" s="46"/>
      <c r="AB61" s="46"/>
    </row>
    <row r="62" ht="48.0" hidden="1" customHeight="1">
      <c r="A62" s="49" t="s">
        <v>1675</v>
      </c>
      <c r="B62" s="47" t="s">
        <v>1304</v>
      </c>
      <c r="C62" s="47" t="s">
        <v>1306</v>
      </c>
      <c r="D62" s="48" t="s">
        <v>203</v>
      </c>
      <c r="E62" s="49" t="s">
        <v>1676</v>
      </c>
      <c r="F62" s="48" t="str">
        <f>IFERROR(__xludf.DUMMYFUNCTION("IF(D62="""","""",IFERROR(TRIM(REGEXEXTRACT(D62, ""^(.*?)(?:,| - )"")), D62))"),"Komelon SS Tape Measure")</f>
        <v>Komelon SS Tape Measure</v>
      </c>
      <c r="G62" s="48" t="str">
        <f>IFERROR(__xludf.DUMMYFUNCTION("IF(D62="""","""",IFERROR(TRIM(REGEXEXTRACT(D62, ""(?:,| - )(.*)$"")), """"))"),"16 ft")</f>
        <v>16 ft</v>
      </c>
      <c r="H62" s="48">
        <v>70.0001</v>
      </c>
      <c r="I62" s="48" t="s">
        <v>176</v>
      </c>
      <c r="J62" s="48" t="s">
        <v>239</v>
      </c>
      <c r="K62" s="50">
        <v>17.0</v>
      </c>
      <c r="L62" s="51"/>
      <c r="M62" s="51">
        <v>1.0</v>
      </c>
      <c r="N62" s="51">
        <v>2.0</v>
      </c>
      <c r="O62" s="52" t="str">
        <f t="shared" si="3"/>
        <v/>
      </c>
      <c r="P62" s="53" t="str">
        <f t="shared" si="4"/>
        <v/>
      </c>
      <c r="Q62" s="51"/>
      <c r="R62" s="54">
        <v>46162.0</v>
      </c>
      <c r="S62" s="48"/>
      <c r="T62" s="46"/>
      <c r="U62" s="46"/>
      <c r="V62" s="46"/>
      <c r="W62" s="46"/>
      <c r="X62" s="46"/>
      <c r="Y62" s="46"/>
      <c r="Z62" s="46"/>
      <c r="AA62" s="46"/>
      <c r="AB62" s="46"/>
    </row>
    <row r="63" ht="48.0" hidden="1" customHeight="1">
      <c r="A63" s="49" t="s">
        <v>1689</v>
      </c>
      <c r="B63" s="47" t="s">
        <v>1304</v>
      </c>
      <c r="C63" s="47" t="s">
        <v>1306</v>
      </c>
      <c r="D63" s="48" t="s">
        <v>528</v>
      </c>
      <c r="E63" s="49" t="s">
        <v>1693</v>
      </c>
      <c r="F63" s="48" t="str">
        <f>IFERROR(__xludf.DUMMYFUNCTION("IF(D63="""","""",IFERROR(TRIM(REGEXEXTRACT(D63, ""^(.*?)(?:,| - )"")), D63))"),"Desmond #2c Dresser")</f>
        <v>Desmond #2c Dresser</v>
      </c>
      <c r="G63" s="48" t="str">
        <f>IFERROR(__xludf.DUMMYFUNCTION("IF(D63="""","""",IFERROR(TRIM(REGEXEXTRACT(D63, ""(?:,| - )(.*)$"")), """"))"),"")</f>
        <v/>
      </c>
      <c r="H63" s="48">
        <v>70.0301</v>
      </c>
      <c r="I63" s="48" t="s">
        <v>176</v>
      </c>
      <c r="J63" s="48" t="s">
        <v>239</v>
      </c>
      <c r="K63" s="50">
        <v>39.77</v>
      </c>
      <c r="L63" s="51"/>
      <c r="M63" s="51">
        <v>1.0</v>
      </c>
      <c r="N63" s="51">
        <v>2.0</v>
      </c>
      <c r="O63" s="52" t="str">
        <f t="shared" si="3"/>
        <v/>
      </c>
      <c r="P63" s="53" t="str">
        <f t="shared" si="4"/>
        <v/>
      </c>
      <c r="Q63" s="51"/>
      <c r="R63" s="54">
        <v>45532.0</v>
      </c>
      <c r="S63" s="48"/>
      <c r="T63" s="46"/>
      <c r="U63" s="46"/>
      <c r="V63" s="46"/>
      <c r="W63" s="46"/>
      <c r="X63" s="46"/>
      <c r="Y63" s="46"/>
      <c r="Z63" s="46"/>
      <c r="AA63" s="46"/>
      <c r="AB63" s="46"/>
    </row>
    <row r="64" ht="48.0" hidden="1" customHeight="1">
      <c r="A64" s="49" t="s">
        <v>1706</v>
      </c>
      <c r="B64" s="47" t="s">
        <v>1304</v>
      </c>
      <c r="C64" s="47" t="s">
        <v>1306</v>
      </c>
      <c r="D64" s="48" t="s">
        <v>287</v>
      </c>
      <c r="E64" s="49" t="s">
        <v>1711</v>
      </c>
      <c r="F64" s="48" t="str">
        <f>IFERROR(__xludf.DUMMYFUNCTION("IF(D64="""","""",IFERROR(TRIM(REGEXEXTRACT(D64, ""^(.*?)(?:,| - )"")), D64))"),"Desmond #2c Cutter")</f>
        <v>Desmond #2c Cutter</v>
      </c>
      <c r="G64" s="48" t="str">
        <f>IFERROR(__xludf.DUMMYFUNCTION("IF(D64="""","""",IFERROR(TRIM(REGEXEXTRACT(D64, ""(?:,| - )(.*)$"")), """"))"),"")</f>
        <v/>
      </c>
      <c r="H64" s="48">
        <v>70.03</v>
      </c>
      <c r="I64" s="48" t="s">
        <v>176</v>
      </c>
      <c r="J64" s="48" t="s">
        <v>239</v>
      </c>
      <c r="K64" s="50">
        <v>8.5</v>
      </c>
      <c r="L64" s="51"/>
      <c r="M64" s="51">
        <v>2.0</v>
      </c>
      <c r="N64" s="51">
        <v>4.0</v>
      </c>
      <c r="O64" s="52" t="str">
        <f t="shared" si="3"/>
        <v/>
      </c>
      <c r="P64" s="53" t="str">
        <f t="shared" si="4"/>
        <v/>
      </c>
      <c r="Q64" s="51"/>
      <c r="R64" s="54">
        <v>46181.0</v>
      </c>
      <c r="S64" s="48"/>
      <c r="T64" s="46"/>
      <c r="U64" s="46"/>
      <c r="V64" s="46"/>
      <c r="W64" s="46"/>
      <c r="X64" s="46"/>
      <c r="Y64" s="46"/>
      <c r="Z64" s="46"/>
      <c r="AA64" s="46"/>
      <c r="AB64" s="46"/>
    </row>
    <row r="65" ht="48.0" hidden="1" customHeight="1">
      <c r="A65" s="49" t="s">
        <v>1728</v>
      </c>
      <c r="B65" s="47" t="s">
        <v>1304</v>
      </c>
      <c r="C65" s="47" t="s">
        <v>1306</v>
      </c>
      <c r="D65" s="48" t="s">
        <v>334</v>
      </c>
      <c r="E65" s="49" t="s">
        <v>1729</v>
      </c>
      <c r="F65" s="48" t="str">
        <f>IFERROR(__xludf.DUMMYFUNCTION("IF(D65="""","""",IFERROR(TRIM(REGEXEXTRACT(D65, ""^(.*?)(?:,| - )"")), D65))"),"NCF Glue Accelerator")</f>
        <v>NCF Glue Accelerator</v>
      </c>
      <c r="G65" s="48" t="str">
        <f>IFERROR(__xludf.DUMMYFUNCTION("IF(D65="""","""",IFERROR(TRIM(REGEXEXTRACT(D65, ""(?:,| - )(.*)$"")), """"))"),"6 oz")</f>
        <v>6 oz</v>
      </c>
      <c r="H65" s="48" t="s">
        <v>580</v>
      </c>
      <c r="I65" s="48" t="s">
        <v>176</v>
      </c>
      <c r="J65" s="48" t="s">
        <v>239</v>
      </c>
      <c r="K65" s="50">
        <v>32.0</v>
      </c>
      <c r="L65" s="51"/>
      <c r="M65" s="51">
        <v>1.0</v>
      </c>
      <c r="N65" s="51">
        <v>2.0</v>
      </c>
      <c r="O65" s="52" t="str">
        <f t="shared" si="3"/>
        <v/>
      </c>
      <c r="P65" s="53" t="str">
        <f t="shared" si="4"/>
        <v/>
      </c>
      <c r="Q65" s="51"/>
      <c r="R65" s="54">
        <v>46148.0</v>
      </c>
      <c r="S65" s="48"/>
      <c r="T65" s="46"/>
      <c r="U65" s="46"/>
      <c r="V65" s="46"/>
      <c r="W65" s="46"/>
      <c r="X65" s="46"/>
      <c r="Y65" s="46"/>
      <c r="Z65" s="46"/>
      <c r="AA65" s="46"/>
      <c r="AB65" s="46"/>
    </row>
    <row r="66" ht="48.0" hidden="1" customHeight="1">
      <c r="A66" s="49" t="s">
        <v>1744</v>
      </c>
      <c r="B66" s="47" t="s">
        <v>1304</v>
      </c>
      <c r="C66" s="47" t="s">
        <v>1306</v>
      </c>
      <c r="D66" s="48" t="s">
        <v>1682</v>
      </c>
      <c r="E66" s="49" t="s">
        <v>1750</v>
      </c>
      <c r="F66" s="48" t="str">
        <f>IFERROR(__xludf.DUMMYFUNCTION("IF(D66="""","""",IFERROR(TRIM(REGEXEXTRACT(D66, ""^(.*?)(?:,| - )"")), D66))"),"Superior 17 LT GOLD Label (Indoor/Outdoor)")</f>
        <v>Superior 17 LT GOLD Label (Indoor/Outdoor)</v>
      </c>
      <c r="G66" s="48" t="str">
        <f>IFERROR(__xludf.DUMMYFUNCTION("IF(D66="""","""",IFERROR(TRIM(REGEXEXTRACT(D66, ""(?:,| - )(.*)$"")), """"))"),"")</f>
        <v/>
      </c>
      <c r="H66" s="48">
        <v>60.0332</v>
      </c>
      <c r="I66" s="48" t="s">
        <v>176</v>
      </c>
      <c r="J66" s="48" t="s">
        <v>239</v>
      </c>
      <c r="K66" s="50">
        <v>475.0</v>
      </c>
      <c r="L66" s="51"/>
      <c r="M66" s="51">
        <v>1.0</v>
      </c>
      <c r="N66" s="51">
        <v>2.0</v>
      </c>
      <c r="O66" s="52" t="str">
        <f t="shared" si="3"/>
        <v/>
      </c>
      <c r="P66" s="53" t="str">
        <f t="shared" si="4"/>
        <v/>
      </c>
      <c r="Q66" s="51"/>
      <c r="R66" s="54">
        <v>46118.0</v>
      </c>
      <c r="S66" s="48"/>
      <c r="T66" s="46"/>
      <c r="U66" s="46"/>
      <c r="V66" s="46"/>
      <c r="W66" s="46"/>
      <c r="X66" s="46"/>
      <c r="Y66" s="46"/>
      <c r="Z66" s="46"/>
      <c r="AA66" s="46"/>
      <c r="AB66" s="46"/>
    </row>
    <row r="67" ht="48.0" hidden="1" customHeight="1">
      <c r="A67" s="49" t="s">
        <v>1769</v>
      </c>
      <c r="B67" s="47" t="s">
        <v>1304</v>
      </c>
      <c r="C67" s="47" t="s">
        <v>1306</v>
      </c>
      <c r="D67" s="48" t="s">
        <v>320</v>
      </c>
      <c r="E67" s="49" t="s">
        <v>1774</v>
      </c>
      <c r="F67" s="48" t="str">
        <f>IFERROR(__xludf.DUMMYFUNCTION("IF(D67="""","""",IFERROR(TRIM(REGEXEXTRACT(D67, ""^(.*?)(?:,| - )"")), D67))"),"Hot Stuff Thin CA Glue")</f>
        <v>Hot Stuff Thin CA Glue</v>
      </c>
      <c r="G67" s="48" t="str">
        <f>IFERROR(__xludf.DUMMYFUNCTION("IF(D67="""","""",IFERROR(TRIM(REGEXEXTRACT(D67, ""(?:,| - )(.*)$"")), """"))"),"2 oz Red")</f>
        <v>2 oz Red</v>
      </c>
      <c r="H67" s="48" t="s">
        <v>512</v>
      </c>
      <c r="I67" s="48" t="s">
        <v>176</v>
      </c>
      <c r="J67" s="48" t="s">
        <v>239</v>
      </c>
      <c r="K67" s="50">
        <v>18.0</v>
      </c>
      <c r="L67" s="51"/>
      <c r="M67" s="51">
        <v>1.0</v>
      </c>
      <c r="N67" s="51">
        <v>2.0</v>
      </c>
      <c r="O67" s="52" t="str">
        <f t="shared" si="3"/>
        <v/>
      </c>
      <c r="P67" s="53" t="str">
        <f t="shared" si="4"/>
        <v/>
      </c>
      <c r="Q67" s="51"/>
      <c r="R67" s="54">
        <v>46148.0</v>
      </c>
      <c r="S67" s="48"/>
      <c r="T67" s="46"/>
      <c r="U67" s="46"/>
      <c r="V67" s="46"/>
      <c r="W67" s="46"/>
      <c r="X67" s="46"/>
      <c r="Y67" s="46"/>
      <c r="Z67" s="46"/>
      <c r="AA67" s="46"/>
      <c r="AB67" s="46"/>
    </row>
    <row r="68" ht="48.0" hidden="1" customHeight="1">
      <c r="A68" s="49" t="s">
        <v>1793</v>
      </c>
      <c r="B68" s="47" t="s">
        <v>1304</v>
      </c>
      <c r="C68" s="47" t="s">
        <v>1306</v>
      </c>
      <c r="D68" s="48" t="s">
        <v>784</v>
      </c>
      <c r="E68" s="49" t="s">
        <v>1794</v>
      </c>
      <c r="F68" s="48" t="str">
        <f>IFERROR(__xludf.DUMMYFUNCTION("IF(D68="""","""",IFERROR(TRIM(REGEXEXTRACT(D68, ""^(.*?)(?:,| - )"")), D68))"),"Mixing Cups")</f>
        <v>Mixing Cups</v>
      </c>
      <c r="G68" s="48" t="str">
        <f>IFERROR(__xludf.DUMMYFUNCTION("IF(D68="""","""",IFERROR(TRIM(REGEXEXTRACT(D68, ""(?:,| - )(.*)$"")), """"))"),"50pc")</f>
        <v>50pc</v>
      </c>
      <c r="H68" s="48">
        <v>40.5131</v>
      </c>
      <c r="I68" s="48" t="s">
        <v>176</v>
      </c>
      <c r="J68" s="48" t="s">
        <v>239</v>
      </c>
      <c r="K68" s="50">
        <v>12.99</v>
      </c>
      <c r="L68" s="51"/>
      <c r="M68" s="51">
        <v>1.0</v>
      </c>
      <c r="N68" s="51">
        <v>2.0</v>
      </c>
      <c r="O68" s="52" t="str">
        <f t="shared" si="3"/>
        <v/>
      </c>
      <c r="P68" s="53" t="str">
        <f t="shared" si="4"/>
        <v/>
      </c>
      <c r="Q68" s="51"/>
      <c r="R68" s="54">
        <v>45749.0</v>
      </c>
      <c r="S68" s="48"/>
      <c r="T68" s="46"/>
      <c r="U68" s="46"/>
      <c r="V68" s="46"/>
      <c r="W68" s="46"/>
      <c r="X68" s="46"/>
      <c r="Y68" s="46"/>
      <c r="Z68" s="46"/>
      <c r="AA68" s="46"/>
      <c r="AB68" s="46"/>
    </row>
    <row r="69" ht="48.0" hidden="1" customHeight="1">
      <c r="A69" s="49" t="s">
        <v>1810</v>
      </c>
      <c r="B69" s="47" t="s">
        <v>1304</v>
      </c>
      <c r="C69" s="47" t="s">
        <v>1306</v>
      </c>
      <c r="D69" s="48" t="s">
        <v>863</v>
      </c>
      <c r="E69" s="49" t="s">
        <v>1815</v>
      </c>
      <c r="F69" s="48" t="str">
        <f>IFERROR(__xludf.DUMMYFUNCTION("IF(D69="""","""",IFERROR(TRIM(REGEXEXTRACT(D69, ""^(.*?)(?:,| - )"")), D69))"),"MK Sharpening / Dressing Stick")</f>
        <v>MK Sharpening / Dressing Stick</v>
      </c>
      <c r="G69" s="48" t="str">
        <f>IFERROR(__xludf.DUMMYFUNCTION("IF(D69="""","""",IFERROR(TRIM(REGEXEXTRACT(D69, ""(?:,| - )(.*)$"")), """"))"),"")</f>
        <v/>
      </c>
      <c r="H69" s="48">
        <v>70.0152792</v>
      </c>
      <c r="I69" s="48" t="s">
        <v>176</v>
      </c>
      <c r="J69" s="48" t="s">
        <v>239</v>
      </c>
      <c r="K69" s="50">
        <v>24.95</v>
      </c>
      <c r="L69" s="51"/>
      <c r="M69" s="51">
        <v>1.0</v>
      </c>
      <c r="N69" s="51">
        <v>2.0</v>
      </c>
      <c r="O69" s="52" t="str">
        <f t="shared" si="3"/>
        <v/>
      </c>
      <c r="P69" s="53" t="str">
        <f t="shared" si="4"/>
        <v/>
      </c>
      <c r="Q69" s="51"/>
      <c r="R69" s="54">
        <v>45771.0</v>
      </c>
      <c r="S69" s="48"/>
      <c r="T69" s="46"/>
      <c r="U69" s="46"/>
      <c r="V69" s="46"/>
      <c r="W69" s="46"/>
      <c r="X69" s="46"/>
      <c r="Y69" s="46"/>
      <c r="Z69" s="46"/>
      <c r="AA69" s="46"/>
      <c r="AB69" s="46"/>
    </row>
    <row r="70" ht="48.0" hidden="1" customHeight="1">
      <c r="A70" s="49" t="s">
        <v>1824</v>
      </c>
      <c r="B70" s="47" t="s">
        <v>1304</v>
      </c>
      <c r="C70" s="47" t="s">
        <v>1306</v>
      </c>
      <c r="D70" s="48" t="s">
        <v>207</v>
      </c>
      <c r="E70" s="49" t="s">
        <v>1827</v>
      </c>
      <c r="F70" s="48" t="str">
        <f>IFERROR(__xludf.DUMMYFUNCTION("IF(D70="""","""",IFERROR(TRIM(REGEXEXTRACT(D70, ""^(.*?)(?:,| - )"")), D70))"),"Razor Blades")</f>
        <v>Razor Blades</v>
      </c>
      <c r="G70" s="48" t="str">
        <f>IFERROR(__xludf.DUMMYFUNCTION("IF(D70="""","""",IFERROR(TRIM(REGEXEXTRACT(D70, ""(?:,| - )(.*)$"")), """"))"),"100ct")</f>
        <v>100ct</v>
      </c>
      <c r="H70" s="48">
        <v>40.0001</v>
      </c>
      <c r="I70" s="48" t="s">
        <v>176</v>
      </c>
      <c r="J70" s="48" t="s">
        <v>239</v>
      </c>
      <c r="K70" s="50">
        <v>6.86</v>
      </c>
      <c r="L70" s="51"/>
      <c r="M70" s="51">
        <v>3.0</v>
      </c>
      <c r="N70" s="51">
        <v>6.0</v>
      </c>
      <c r="O70" s="52" t="str">
        <f t="shared" si="3"/>
        <v/>
      </c>
      <c r="P70" s="53" t="str">
        <f t="shared" si="4"/>
        <v/>
      </c>
      <c r="Q70" s="51"/>
      <c r="R70" s="54">
        <v>46043.0</v>
      </c>
      <c r="S70" s="48"/>
      <c r="T70" s="46"/>
      <c r="U70" s="46"/>
      <c r="V70" s="46"/>
      <c r="W70" s="46"/>
      <c r="X70" s="46"/>
      <c r="Y70" s="46"/>
      <c r="Z70" s="46"/>
      <c r="AA70" s="46"/>
      <c r="AB70" s="46"/>
    </row>
    <row r="71" ht="48.0" hidden="1" customHeight="1">
      <c r="A71" s="49" t="s">
        <v>1842</v>
      </c>
      <c r="B71" s="47" t="s">
        <v>1304</v>
      </c>
      <c r="C71" s="47" t="s">
        <v>1306</v>
      </c>
      <c r="D71" s="48" t="s">
        <v>281</v>
      </c>
      <c r="E71" s="49" t="s">
        <v>1849</v>
      </c>
      <c r="F71" s="48" t="str">
        <f>IFERROR(__xludf.DUMMYFUNCTION("IF(D71="""","""",IFERROR(TRIM(REGEXEXTRACT(D71, ""^(.*?)(?:,| - )"")), D71))"),"Nelson Wood Shims")</f>
        <v>Nelson Wood Shims</v>
      </c>
      <c r="G71" s="48" t="str">
        <f>IFERROR(__xludf.DUMMYFUNCTION("IF(D71="""","""",IFERROR(TRIM(REGEXEXTRACT(D71, ""(?:,| - )(.*)$"")), """"))"),"120pc")</f>
        <v>120pc</v>
      </c>
      <c r="H71" s="48">
        <v>80.5086</v>
      </c>
      <c r="I71" s="48" t="s">
        <v>176</v>
      </c>
      <c r="J71" s="48" t="s">
        <v>239</v>
      </c>
      <c r="K71" s="50">
        <v>12.99</v>
      </c>
      <c r="L71" s="51"/>
      <c r="M71" s="51">
        <v>2.0</v>
      </c>
      <c r="N71" s="51">
        <v>4.0</v>
      </c>
      <c r="O71" s="52" t="str">
        <f t="shared" si="3"/>
        <v/>
      </c>
      <c r="P71" s="53" t="str">
        <f t="shared" si="4"/>
        <v/>
      </c>
      <c r="Q71" s="51"/>
      <c r="R71" s="54">
        <v>46132.0</v>
      </c>
      <c r="S71" s="48"/>
      <c r="T71" s="46"/>
      <c r="U71" s="46"/>
      <c r="V71" s="46"/>
      <c r="W71" s="46"/>
      <c r="X71" s="46"/>
      <c r="Y71" s="46"/>
      <c r="Z71" s="46"/>
      <c r="AA71" s="46"/>
      <c r="AB71" s="46"/>
    </row>
    <row r="72" ht="48.0" customHeight="1">
      <c r="A72" s="49" t="s">
        <v>1863</v>
      </c>
      <c r="B72" s="47" t="s">
        <v>1865</v>
      </c>
      <c r="C72" s="47" t="s">
        <v>1866</v>
      </c>
      <c r="D72" s="48" t="s">
        <v>225</v>
      </c>
      <c r="E72" s="49" t="s">
        <v>1328</v>
      </c>
      <c r="F72" s="48" t="str">
        <f>IFERROR(__xludf.DUMMYFUNCTION("IF(D72="""","""",IFERROR(TRIM(REGEXEXTRACT(D72, ""^(.*?)(?:,| - )"")), D72))"),"Acetone 100% Virgin")</f>
        <v>Acetone 100% Virgin</v>
      </c>
      <c r="G72" s="48" t="str">
        <f>IFERROR(__xludf.DUMMYFUNCTION("IF(D72="""","""",IFERROR(TRIM(REGEXEXTRACT(D72, ""(?:,| - )(.*)$"")), """"))"),"5 Gal")</f>
        <v>5 Gal</v>
      </c>
      <c r="H72" s="48">
        <v>10.0301</v>
      </c>
      <c r="I72" s="48" t="s">
        <v>176</v>
      </c>
      <c r="J72" s="48" t="s">
        <v>239</v>
      </c>
      <c r="K72" s="50">
        <v>70.0</v>
      </c>
      <c r="L72" s="51"/>
      <c r="M72" s="51">
        <v>1.0</v>
      </c>
      <c r="N72" s="51">
        <v>2.0</v>
      </c>
      <c r="O72" s="52" t="str">
        <f t="shared" si="3"/>
        <v/>
      </c>
      <c r="P72" s="53" t="str">
        <f t="shared" si="4"/>
        <v/>
      </c>
      <c r="Q72" s="51"/>
      <c r="R72" s="54"/>
      <c r="S72" s="48"/>
      <c r="T72" s="46"/>
      <c r="U72" s="46"/>
      <c r="V72" s="46"/>
      <c r="W72" s="46"/>
      <c r="X72" s="46"/>
      <c r="Y72" s="46"/>
      <c r="Z72" s="46"/>
      <c r="AA72" s="46"/>
      <c r="AB72" s="46"/>
    </row>
    <row r="73" ht="48.0" customHeight="1">
      <c r="A73" s="49" t="s">
        <v>1886</v>
      </c>
      <c r="B73" s="47" t="s">
        <v>1865</v>
      </c>
      <c r="C73" s="47" t="s">
        <v>1866</v>
      </c>
      <c r="D73" s="48" t="s">
        <v>1891</v>
      </c>
      <c r="E73" s="49" t="s">
        <v>1892</v>
      </c>
      <c r="F73" s="48" t="str">
        <f>IFERROR(__xludf.DUMMYFUNCTION("IF(D73="""","""",IFERROR(TRIM(REGEXEXTRACT(D73, ""^(.*?)(?:,| - )"")), D73))"),"5/16-18 x 1"" Stainless Stud")</f>
        <v>5/16-18 x 1" Stainless Stud</v>
      </c>
      <c r="G73" s="48" t="str">
        <f>IFERROR(__xludf.DUMMYFUNCTION("IF(D73="""","""",IFERROR(TRIM(REGEXEXTRACT(D73, ""(?:,| - )(.*)$"")), """"))"),"1-1/2"" OD Black GFN Base")</f>
        <v>1-1/2" OD Black GFN Base</v>
      </c>
      <c r="H73" s="48" t="s">
        <v>1898</v>
      </c>
      <c r="I73" s="48" t="s">
        <v>856</v>
      </c>
      <c r="J73" s="48" t="s">
        <v>239</v>
      </c>
      <c r="K73" s="50">
        <v>1.45</v>
      </c>
      <c r="L73" s="51"/>
      <c r="M73" s="51"/>
      <c r="N73" s="51"/>
      <c r="O73" s="52" t="str">
        <f t="shared" si="3"/>
        <v/>
      </c>
      <c r="P73" s="53" t="str">
        <f t="shared" si="4"/>
        <v/>
      </c>
      <c r="Q73" s="51"/>
      <c r="R73" s="54">
        <v>46196.0</v>
      </c>
      <c r="S73" s="48" t="s">
        <v>1910</v>
      </c>
      <c r="T73" s="46"/>
      <c r="U73" s="46"/>
      <c r="V73" s="46"/>
      <c r="W73" s="46"/>
      <c r="X73" s="46"/>
      <c r="Y73" s="46"/>
      <c r="Z73" s="46"/>
      <c r="AA73" s="46"/>
      <c r="AB73" s="46"/>
    </row>
    <row r="74" ht="48.0" customHeight="1">
      <c r="A74" s="49" t="s">
        <v>1911</v>
      </c>
      <c r="B74" s="47" t="s">
        <v>1865</v>
      </c>
      <c r="C74" s="47" t="s">
        <v>1866</v>
      </c>
      <c r="D74" s="48" t="s">
        <v>1915</v>
      </c>
      <c r="E74" s="49" t="s">
        <v>1917</v>
      </c>
      <c r="F74" s="48" t="str">
        <f>IFERROR(__xludf.DUMMYFUNCTION("IF(D74="""","""",IFERROR(TRIM(REGEXEXTRACT(D74, ""^(.*?)(?:,| - )"")), D74))"),"Drill bit")</f>
        <v>Drill bit</v>
      </c>
      <c r="G74" s="48" t="str">
        <f>IFERROR(__xludf.DUMMYFUNCTION("IF(D74="""","""",IFERROR(TRIM(REGEXEXTRACT(D74, ""(?:,| - )(.*)$"")), """"))"),"1/8"", titanium nitride coated M2 HSS, hex shank (6-pack)")</f>
        <v>1/8", titanium nitride coated M2 HSS, hex shank (6-pack)</v>
      </c>
      <c r="H74" s="48" t="s">
        <v>1920</v>
      </c>
      <c r="I74" s="48" t="s">
        <v>157</v>
      </c>
      <c r="J74" s="48" t="s">
        <v>248</v>
      </c>
      <c r="K74" s="50">
        <v>13.15</v>
      </c>
      <c r="L74" s="51"/>
      <c r="M74" s="51">
        <v>1.0</v>
      </c>
      <c r="N74" s="51">
        <v>2.0</v>
      </c>
      <c r="O74" s="52" t="str">
        <f t="shared" si="3"/>
        <v/>
      </c>
      <c r="P74" s="53" t="str">
        <f t="shared" si="4"/>
        <v/>
      </c>
      <c r="Q74" s="51"/>
      <c r="R74" s="54">
        <v>46049.0</v>
      </c>
      <c r="S74" s="48" t="s">
        <v>1923</v>
      </c>
      <c r="T74" s="46"/>
      <c r="U74" s="46"/>
      <c r="V74" s="46"/>
      <c r="W74" s="46"/>
      <c r="X74" s="46"/>
      <c r="Y74" s="46"/>
      <c r="Z74" s="46"/>
      <c r="AA74" s="46"/>
      <c r="AB74" s="46"/>
    </row>
    <row r="75" ht="48.0" customHeight="1">
      <c r="A75" s="49" t="s">
        <v>1925</v>
      </c>
      <c r="B75" s="47" t="s">
        <v>1865</v>
      </c>
      <c r="C75" s="47" t="s">
        <v>1866</v>
      </c>
      <c r="D75" s="48" t="s">
        <v>340</v>
      </c>
      <c r="E75" s="49" t="s">
        <v>1929</v>
      </c>
      <c r="F75" s="48" t="str">
        <f>IFERROR(__xludf.DUMMYFUNCTION("IF(D75="""","""",IFERROR(TRIM(REGEXEXTRACT(D75, ""^(.*?)(?:,| - )"")), D75))"),"Self-drilling screw")</f>
        <v>Self-drilling screw</v>
      </c>
      <c r="G75" s="48" t="str">
        <f>IFERROR(__xludf.DUMMYFUNCTION("IF(D75="""","""",IFERROR(TRIM(REGEXEXTRACT(D75, ""(?:,| - )(.*)$"")), """"))"),"#6-20 x 1/2"", pan head Phillips, zinc (100-pack)")</f>
        <v>#6-20 x 1/2", pan head Phillips, zinc (100-pack)</v>
      </c>
      <c r="H75" s="48" t="s">
        <v>1934</v>
      </c>
      <c r="I75" s="48" t="s">
        <v>1936</v>
      </c>
      <c r="J75" s="48" t="s">
        <v>341</v>
      </c>
      <c r="K75" s="50"/>
      <c r="L75" s="51"/>
      <c r="M75" s="51">
        <v>5.0</v>
      </c>
      <c r="N75" s="51">
        <v>12.0</v>
      </c>
      <c r="O75" s="52" t="str">
        <f t="shared" si="3"/>
        <v/>
      </c>
      <c r="P75" s="53" t="str">
        <f t="shared" si="4"/>
        <v/>
      </c>
      <c r="Q75" s="51"/>
      <c r="R75" s="54">
        <v>46195.0</v>
      </c>
      <c r="S75" s="48" t="s">
        <v>1941</v>
      </c>
      <c r="T75" s="46"/>
      <c r="U75" s="46"/>
      <c r="V75" s="46"/>
      <c r="W75" s="46"/>
      <c r="X75" s="46"/>
      <c r="Y75" s="46"/>
      <c r="Z75" s="46"/>
      <c r="AA75" s="46"/>
      <c r="AB75" s="46"/>
    </row>
    <row r="76" ht="48.0" customHeight="1">
      <c r="A76" s="49" t="s">
        <v>1944</v>
      </c>
      <c r="B76" s="47" t="s">
        <v>1865</v>
      </c>
      <c r="C76" s="47" t="s">
        <v>1866</v>
      </c>
      <c r="D76" s="48" t="s">
        <v>1948</v>
      </c>
      <c r="E76" s="49" t="s">
        <v>1949</v>
      </c>
      <c r="F76" s="48" t="str">
        <f>IFERROR(__xludf.DUMMYFUNCTION("IF(D76="""","""",IFERROR(TRIM(REGEXEXTRACT(D76, ""^(.*?)(?:,| - )"")), D76))"),"Hex cap screw")</f>
        <v>Hex cap screw</v>
      </c>
      <c r="G76" s="48" t="str">
        <f>IFERROR(__xludf.DUMMYFUNCTION("IF(D76="""","""",IFERROR(TRIM(REGEXEXTRACT(D76, ""(?:,| - )(.*)$"")), """"))"),"1/4-20 x 1-1/2"", Grade 5, zinc plated, coarse thread, partially threaded (0.75"" thread)")</f>
        <v>1/4-20 x 1-1/2", Grade 5, zinc plated, coarse thread, partially threaded (0.75" thread)</v>
      </c>
      <c r="H76" s="48" t="s">
        <v>1952</v>
      </c>
      <c r="I76" s="48" t="s">
        <v>157</v>
      </c>
      <c r="J76" s="48" t="s">
        <v>239</v>
      </c>
      <c r="K76" s="50">
        <v>0.3263</v>
      </c>
      <c r="L76" s="51"/>
      <c r="M76" s="51">
        <v>100.0</v>
      </c>
      <c r="N76" s="51">
        <v>200.0</v>
      </c>
      <c r="O76" s="52" t="str">
        <f t="shared" si="3"/>
        <v/>
      </c>
      <c r="P76" s="53" t="str">
        <f t="shared" si="4"/>
        <v/>
      </c>
      <c r="Q76" s="51"/>
      <c r="R76" s="54">
        <v>46209.0</v>
      </c>
      <c r="S76" s="48" t="s">
        <v>1966</v>
      </c>
      <c r="T76" s="46"/>
      <c r="U76" s="46"/>
      <c r="V76" s="46"/>
      <c r="W76" s="46"/>
      <c r="X76" s="46"/>
      <c r="Y76" s="46"/>
      <c r="Z76" s="46"/>
      <c r="AA76" s="46"/>
      <c r="AB76" s="46"/>
    </row>
    <row r="77" ht="48.0" customHeight="1">
      <c r="A77" s="49" t="s">
        <v>415</v>
      </c>
      <c r="B77" s="47" t="s">
        <v>1865</v>
      </c>
      <c r="C77" s="47" t="s">
        <v>1866</v>
      </c>
      <c r="D77" s="48" t="s">
        <v>1967</v>
      </c>
      <c r="E77" s="49" t="s">
        <v>1969</v>
      </c>
      <c r="F77" s="48" t="str">
        <f>IFERROR(__xludf.DUMMYFUNCTION("IF(D77="""","""",IFERROR(TRIM(REGEXEXTRACT(D77, ""^(.*?)(?:,| - )"")), D77))"),"Hex cap screw")</f>
        <v>Hex cap screw</v>
      </c>
      <c r="G77" s="48" t="str">
        <f>IFERROR(__xludf.DUMMYFUNCTION("IF(D77="""","""",IFERROR(TRIM(REGEXEXTRACT(D77, ""(?:,| - )(.*)$"")), """"))"),"1/4-20 x 1"", Grade 5, zinc plated, coarse thread, FULLY threaded")</f>
        <v>1/4-20 x 1", Grade 5, zinc plated, coarse thread, FULLY threaded</v>
      </c>
      <c r="H77" s="48" t="s">
        <v>1973</v>
      </c>
      <c r="I77" s="48" t="s">
        <v>157</v>
      </c>
      <c r="J77" s="48" t="s">
        <v>239</v>
      </c>
      <c r="K77" s="50">
        <v>0.2879</v>
      </c>
      <c r="L77" s="51"/>
      <c r="M77" s="51">
        <v>100.0</v>
      </c>
      <c r="N77" s="51">
        <v>200.0</v>
      </c>
      <c r="O77" s="52" t="str">
        <f t="shared" si="3"/>
        <v/>
      </c>
      <c r="P77" s="53" t="str">
        <f t="shared" si="4"/>
        <v/>
      </c>
      <c r="Q77" s="51"/>
      <c r="R77" s="54">
        <v>46209.0</v>
      </c>
      <c r="S77" s="48" t="s">
        <v>1982</v>
      </c>
      <c r="T77" s="46"/>
      <c r="U77" s="46"/>
      <c r="V77" s="46"/>
      <c r="W77" s="46"/>
      <c r="X77" s="46"/>
      <c r="Y77" s="46"/>
      <c r="Z77" s="46"/>
      <c r="AA77" s="46"/>
      <c r="AB77" s="46"/>
    </row>
    <row r="78" ht="48.0" customHeight="1">
      <c r="A78" s="49" t="s">
        <v>1983</v>
      </c>
      <c r="B78" s="47" t="s">
        <v>1865</v>
      </c>
      <c r="C78" s="47" t="s">
        <v>1866</v>
      </c>
      <c r="D78" s="48" t="s">
        <v>348</v>
      </c>
      <c r="E78" s="49" t="s">
        <v>1984</v>
      </c>
      <c r="F78" s="48" t="str">
        <f>IFERROR(__xludf.DUMMYFUNCTION("IF(D78="""","""",IFERROR(TRIM(REGEXEXTRACT(D78, ""^(.*?)(?:,| - )"")), D78))"),"Thumb screw")</f>
        <v>Thumb screw</v>
      </c>
      <c r="G78" s="48" t="str">
        <f>IFERROR(__xludf.DUMMYFUNCTION("IF(D78="""","""",IFERROR(TRIM(REGEXEXTRACT(D78, ""(?:,| - )(.*)$"")), """"))"),"5/16-18 x 1"", stainless, black aluminum knob (4-pack)")</f>
        <v>5/16-18 x 1", stainless, black aluminum knob (4-pack)</v>
      </c>
      <c r="H78" s="48" t="s">
        <v>1985</v>
      </c>
      <c r="I78" s="48" t="s">
        <v>157</v>
      </c>
      <c r="J78" s="48" t="s">
        <v>350</v>
      </c>
      <c r="K78" s="50">
        <v>9.49</v>
      </c>
      <c r="L78" s="51"/>
      <c r="M78" s="51">
        <v>1.0</v>
      </c>
      <c r="N78" s="51">
        <v>3.0</v>
      </c>
      <c r="O78" s="52" t="str">
        <f t="shared" si="3"/>
        <v/>
      </c>
      <c r="P78" s="53" t="str">
        <f t="shared" si="4"/>
        <v/>
      </c>
      <c r="Q78" s="51"/>
      <c r="R78" s="54">
        <v>46120.0</v>
      </c>
      <c r="S78" s="48" t="s">
        <v>1986</v>
      </c>
      <c r="T78" s="46"/>
      <c r="U78" s="46"/>
      <c r="V78" s="46"/>
      <c r="W78" s="46"/>
      <c r="X78" s="46"/>
      <c r="Y78" s="46"/>
      <c r="Z78" s="46"/>
      <c r="AA78" s="46"/>
      <c r="AB78" s="46"/>
    </row>
    <row r="79" ht="48.0" customHeight="1">
      <c r="A79" s="49" t="s">
        <v>417</v>
      </c>
      <c r="B79" s="47" t="s">
        <v>1865</v>
      </c>
      <c r="C79" s="47" t="s">
        <v>1866</v>
      </c>
      <c r="D79" s="48" t="s">
        <v>1987</v>
      </c>
      <c r="E79" s="49" t="s">
        <v>1988</v>
      </c>
      <c r="F79" s="48" t="str">
        <f>IFERROR(__xludf.DUMMYFUNCTION("IF(D79="""","""",IFERROR(TRIM(REGEXEXTRACT(D79, ""^(.*?)(?:,| - )"")), D79))"),"Thumb screw")</f>
        <v>Thumb screw</v>
      </c>
      <c r="G79" s="48" t="str">
        <f>IFERROR(__xludf.DUMMYFUNCTION("IF(D79="""","""",IFERROR(TRIM(REGEXEXTRACT(D79, ""(?:,| - )(.*)$"")), """"))"),"5/16-18 x 1"", stainless, WHITE tee-wing plastic knob (2-pack)")</f>
        <v>5/16-18 x 1", stainless, WHITE tee-wing plastic knob (2-pack)</v>
      </c>
      <c r="H79" s="48" t="s">
        <v>1989</v>
      </c>
      <c r="I79" s="48" t="s">
        <v>157</v>
      </c>
      <c r="J79" s="48" t="s">
        <v>618</v>
      </c>
      <c r="K79" s="50">
        <v>9.79</v>
      </c>
      <c r="L79" s="51"/>
      <c r="M79" s="51">
        <v>1.0</v>
      </c>
      <c r="N79" s="51">
        <v>3.0</v>
      </c>
      <c r="O79" s="52" t="str">
        <f t="shared" si="3"/>
        <v/>
      </c>
      <c r="P79" s="53" t="str">
        <f t="shared" si="4"/>
        <v/>
      </c>
      <c r="Q79" s="51"/>
      <c r="R79" s="54">
        <v>45995.0</v>
      </c>
      <c r="S79" s="48" t="s">
        <v>1990</v>
      </c>
      <c r="T79" s="46"/>
      <c r="U79" s="46"/>
      <c r="V79" s="46"/>
      <c r="W79" s="46"/>
      <c r="X79" s="46"/>
      <c r="Y79" s="46"/>
      <c r="Z79" s="46"/>
      <c r="AA79" s="46"/>
      <c r="AB79" s="46"/>
    </row>
    <row r="80" ht="48.0" customHeight="1">
      <c r="A80" s="49" t="s">
        <v>408</v>
      </c>
      <c r="B80" s="47" t="s">
        <v>1865</v>
      </c>
      <c r="C80" s="47" t="s">
        <v>1866</v>
      </c>
      <c r="D80" s="48" t="s">
        <v>1991</v>
      </c>
      <c r="E80" s="49" t="s">
        <v>1992</v>
      </c>
      <c r="F80" s="48" t="str">
        <f>IFERROR(__xludf.DUMMYFUNCTION("IF(D80="""","""",IFERROR(TRIM(REGEXEXTRACT(D80, ""^(.*?)(?:,| - )"")), D80))"),"Pop rivet")</f>
        <v>Pop rivet</v>
      </c>
      <c r="G80" s="48" t="str">
        <f>IFERROR(__xludf.DUMMYFUNCTION("IF(D80="""","""",IFERROR(TRIM(REGEXEXTRACT(D80, ""(?:,| - )(.*)$"")), """"))"),"1/8"" x 1/16"", dome head, open-end blind, low carbon steel (100-pack)")</f>
        <v>1/8" x 1/16", dome head, open-end blind, low carbon steel (100-pack)</v>
      </c>
      <c r="H80" s="48" t="s">
        <v>1993</v>
      </c>
      <c r="I80" s="48" t="s">
        <v>157</v>
      </c>
      <c r="J80" s="48" t="s">
        <v>341</v>
      </c>
      <c r="K80" s="50">
        <v>11.63</v>
      </c>
      <c r="L80" s="51"/>
      <c r="M80" s="51">
        <v>0.0</v>
      </c>
      <c r="N80" s="51">
        <v>1.0</v>
      </c>
      <c r="O80" s="52" t="str">
        <f t="shared" si="3"/>
        <v/>
      </c>
      <c r="P80" s="53" t="str">
        <f t="shared" si="4"/>
        <v/>
      </c>
      <c r="Q80" s="51"/>
      <c r="R80" s="54">
        <v>46049.0</v>
      </c>
      <c r="S80" s="48" t="s">
        <v>1994</v>
      </c>
      <c r="T80" s="46"/>
      <c r="U80" s="46"/>
      <c r="V80" s="46"/>
      <c r="W80" s="46"/>
      <c r="X80" s="46"/>
      <c r="Y80" s="46"/>
      <c r="Z80" s="46"/>
      <c r="AA80" s="46"/>
      <c r="AB80" s="46"/>
    </row>
    <row r="81" ht="48.0" customHeight="1">
      <c r="A81" s="49" t="s">
        <v>1995</v>
      </c>
      <c r="B81" s="47" t="s">
        <v>1865</v>
      </c>
      <c r="C81" s="47" t="s">
        <v>1866</v>
      </c>
      <c r="D81" s="48" t="s">
        <v>460</v>
      </c>
      <c r="E81" s="49" t="s">
        <v>1996</v>
      </c>
      <c r="F81" s="48" t="str">
        <f>IFERROR(__xludf.DUMMYFUNCTION("IF(D81="""","""",IFERROR(TRIM(REGEXEXTRACT(D81, ""^(.*?)(?:,| - )"")), D81))"),"Swivel plate")</f>
        <v>Swivel plate</v>
      </c>
      <c r="G81" s="48" t="str">
        <f>IFERROR(__xludf.DUMMYFUNCTION("IF(D81="""","""",IFERROR(TRIM(REGEXEXTRACT(D81, ""(?:,| - )(.*)$"")), """"))"),"10.25"" square, ball bearing")</f>
        <v>10.25" square, ball bearing</v>
      </c>
      <c r="H81" s="48" t="s">
        <v>1997</v>
      </c>
      <c r="I81" s="48" t="s">
        <v>1998</v>
      </c>
      <c r="J81" s="48" t="s">
        <v>239</v>
      </c>
      <c r="K81" s="50">
        <v>35.95</v>
      </c>
      <c r="L81" s="51"/>
      <c r="M81" s="51">
        <v>4.0</v>
      </c>
      <c r="N81" s="51">
        <v>20.0</v>
      </c>
      <c r="O81" s="52" t="str">
        <f t="shared" si="3"/>
        <v/>
      </c>
      <c r="P81" s="53" t="str">
        <f t="shared" si="4"/>
        <v/>
      </c>
      <c r="Q81" s="51"/>
      <c r="R81" s="54">
        <v>46235.0</v>
      </c>
      <c r="S81" s="48" t="s">
        <v>1999</v>
      </c>
      <c r="T81" s="46"/>
      <c r="U81" s="46"/>
      <c r="V81" s="46"/>
      <c r="W81" s="46"/>
      <c r="X81" s="46"/>
      <c r="Y81" s="46"/>
      <c r="Z81" s="46"/>
      <c r="AA81" s="46"/>
      <c r="AB81" s="46"/>
    </row>
    <row r="82" ht="48.0" customHeight="1">
      <c r="A82" s="49" t="s">
        <v>2000</v>
      </c>
      <c r="B82" s="47" t="s">
        <v>1865</v>
      </c>
      <c r="C82" s="47" t="s">
        <v>1866</v>
      </c>
      <c r="D82" s="48" t="s">
        <v>451</v>
      </c>
      <c r="E82" s="49" t="s">
        <v>2001</v>
      </c>
      <c r="F82" s="48" t="str">
        <f>IFERROR(__xludf.DUMMYFUNCTION("IF(D82="""","""",IFERROR(TRIM(REGEXEXTRACT(D82, ""^(.*?)(?:,| - )"")), D82))"),"Propane regulator and hose")</f>
        <v>Propane regulator and hose</v>
      </c>
      <c r="G82" s="48" t="str">
        <f>IFERROR(__xludf.DUMMYFUNCTION("IF(D82="""","""",IFERROR(TRIM(REGEXEXTRACT(D82, ""(?:,| - )(.*)$"")), """"))"),"QCC1 low pressure, 2 ft")</f>
        <v>QCC1 low pressure, 2 ft</v>
      </c>
      <c r="H82" s="48" t="s">
        <v>2002</v>
      </c>
      <c r="I82" s="48" t="s">
        <v>157</v>
      </c>
      <c r="J82" s="48" t="s">
        <v>239</v>
      </c>
      <c r="K82" s="50">
        <v>16.99</v>
      </c>
      <c r="L82" s="51"/>
      <c r="M82" s="51">
        <v>1.0</v>
      </c>
      <c r="N82" s="51">
        <v>3.0</v>
      </c>
      <c r="O82" s="52" t="str">
        <f t="shared" si="3"/>
        <v/>
      </c>
      <c r="P82" s="53" t="str">
        <f t="shared" si="4"/>
        <v/>
      </c>
      <c r="Q82" s="51"/>
      <c r="R82" s="54"/>
      <c r="S82" s="48" t="s">
        <v>2003</v>
      </c>
      <c r="T82" s="46"/>
      <c r="U82" s="46"/>
      <c r="V82" s="46"/>
      <c r="W82" s="46"/>
      <c r="X82" s="46"/>
      <c r="Y82" s="46"/>
      <c r="Z82" s="46"/>
      <c r="AA82" s="46"/>
      <c r="AB82" s="46"/>
    </row>
    <row r="83" ht="48.0" customHeight="1">
      <c r="A83" s="49" t="s">
        <v>2004</v>
      </c>
      <c r="B83" s="47" t="s">
        <v>1865</v>
      </c>
      <c r="C83" s="47" t="s">
        <v>1866</v>
      </c>
      <c r="D83" s="48" t="s">
        <v>469</v>
      </c>
      <c r="E83" s="49" t="s">
        <v>2005</v>
      </c>
      <c r="F83" s="48" t="str">
        <f>IFERROR(__xludf.DUMMYFUNCTION("IF(D83="""","""",IFERROR(TRIM(REGEXEXTRACT(D83, ""^(.*?)(?:,| - )"")), D83))"),"Flex gas line connector kit")</f>
        <v>Flex gas line connector kit</v>
      </c>
      <c r="G83" s="48" t="str">
        <f>IFERROR(__xludf.DUMMYFUNCTION("IF(D83="""","""",IFERROR(TRIM(REGEXEXTRACT(D83, ""(?:,| - )(.*)$"")), """"))"),"1/2"" OD x 3/8"" ID, 48"", non-whistle")</f>
        <v>1/2" OD x 3/8" ID, 48", non-whistle</v>
      </c>
      <c r="H83" s="48" t="s">
        <v>2006</v>
      </c>
      <c r="I83" s="48" t="s">
        <v>157</v>
      </c>
      <c r="J83" s="48" t="s">
        <v>239</v>
      </c>
      <c r="K83" s="50">
        <v>23.77</v>
      </c>
      <c r="L83" s="51"/>
      <c r="M83" s="51">
        <v>1.0</v>
      </c>
      <c r="N83" s="51">
        <v>3.0</v>
      </c>
      <c r="O83" s="52" t="str">
        <f t="shared" si="3"/>
        <v/>
      </c>
      <c r="P83" s="53" t="str">
        <f t="shared" si="4"/>
        <v/>
      </c>
      <c r="Q83" s="51"/>
      <c r="R83" s="54">
        <v>46082.0</v>
      </c>
      <c r="S83" s="48" t="s">
        <v>2007</v>
      </c>
      <c r="T83" s="46"/>
      <c r="U83" s="46"/>
      <c r="V83" s="46"/>
      <c r="W83" s="46"/>
      <c r="X83" s="46"/>
      <c r="Y83" s="46"/>
      <c r="Z83" s="46"/>
      <c r="AA83" s="46"/>
      <c r="AB83" s="46"/>
    </row>
    <row r="84" ht="48.0" customHeight="1">
      <c r="A84" s="49" t="s">
        <v>2008</v>
      </c>
      <c r="B84" s="47" t="s">
        <v>1865</v>
      </c>
      <c r="C84" s="47" t="s">
        <v>1866</v>
      </c>
      <c r="D84" s="48" t="s">
        <v>2009</v>
      </c>
      <c r="E84" s="49" t="s">
        <v>2010</v>
      </c>
      <c r="F84" s="48" t="str">
        <f>IFERROR(__xludf.DUMMYFUNCTION("IF(D84="""","""",IFERROR(TRIM(REGEXEXTRACT(D84, ""^(.*?)(?:,| - )"")), D84))"),"Flex gas line connector kit")</f>
        <v>Flex gas line connector kit</v>
      </c>
      <c r="G84" s="48" t="str">
        <f>IFERROR(__xludf.DUMMYFUNCTION("IF(D84="""","""",IFERROR(TRIM(REGEXEXTRACT(D84, ""(?:,| - )(.*)$"")), """"))"),"1/2"" OD x 3/8"" ID, 24"", non-whistle")</f>
        <v>1/2" OD x 3/8" ID, 24", non-whistle</v>
      </c>
      <c r="H84" s="48" t="s">
        <v>2011</v>
      </c>
      <c r="I84" s="48" t="s">
        <v>157</v>
      </c>
      <c r="J84" s="48" t="s">
        <v>239</v>
      </c>
      <c r="K84" s="50">
        <v>17.99</v>
      </c>
      <c r="L84" s="51"/>
      <c r="M84" s="51">
        <v>1.0</v>
      </c>
      <c r="N84" s="51">
        <v>3.0</v>
      </c>
      <c r="O84" s="52" t="str">
        <f t="shared" si="3"/>
        <v/>
      </c>
      <c r="P84" s="53" t="str">
        <f t="shared" si="4"/>
        <v/>
      </c>
      <c r="Q84" s="51"/>
      <c r="R84" s="54">
        <v>46238.0</v>
      </c>
      <c r="S84" s="48" t="s">
        <v>2012</v>
      </c>
      <c r="T84" s="46"/>
      <c r="U84" s="46"/>
      <c r="V84" s="46"/>
      <c r="W84" s="46"/>
      <c r="X84" s="46"/>
      <c r="Y84" s="46"/>
      <c r="Z84" s="46"/>
      <c r="AA84" s="46"/>
      <c r="AB84" s="46"/>
    </row>
    <row r="85" ht="48.0" customHeight="1">
      <c r="A85" s="49" t="s">
        <v>2013</v>
      </c>
      <c r="B85" s="47" t="s">
        <v>1865</v>
      </c>
      <c r="C85" s="47" t="s">
        <v>1866</v>
      </c>
      <c r="D85" s="48" t="s">
        <v>2014</v>
      </c>
      <c r="E85" s="49" t="s">
        <v>2015</v>
      </c>
      <c r="F85" s="48" t="str">
        <f>IFERROR(__xludf.DUMMYFUNCTION("IF(D85="""","""",IFERROR(TRIM(REGEXEXTRACT(D85, ""^(.*?)(?:,| - )"")), D85))"),"Fire pit gas valve kit")</f>
        <v>Fire pit gas valve kit</v>
      </c>
      <c r="G85" s="48" t="str">
        <f>IFERROR(__xludf.DUMMYFUNCTION("IF(D85="""","""",IFERROR(TRIM(REGEXEXTRACT(D85, ""(?:,| - )(.*)$"")), """"))"),"1/2"" NPT")</f>
        <v>1/2" NPT</v>
      </c>
      <c r="H85" s="48" t="s">
        <v>2016</v>
      </c>
      <c r="I85" s="48" t="s">
        <v>157</v>
      </c>
      <c r="J85" s="48" t="s">
        <v>239</v>
      </c>
      <c r="K85" s="50">
        <v>24.7</v>
      </c>
      <c r="L85" s="51"/>
      <c r="M85" s="51">
        <v>1.0</v>
      </c>
      <c r="N85" s="51">
        <v>3.0</v>
      </c>
      <c r="O85" s="52" t="str">
        <f t="shared" si="3"/>
        <v/>
      </c>
      <c r="P85" s="53" t="str">
        <f t="shared" si="4"/>
        <v/>
      </c>
      <c r="Q85" s="51"/>
      <c r="R85" s="54">
        <v>45992.0</v>
      </c>
      <c r="S85" s="48" t="s">
        <v>2017</v>
      </c>
      <c r="T85" s="46"/>
      <c r="U85" s="46"/>
      <c r="V85" s="46"/>
      <c r="W85" s="46"/>
      <c r="X85" s="46"/>
      <c r="Y85" s="46"/>
      <c r="Z85" s="46"/>
      <c r="AA85" s="46"/>
      <c r="AB85" s="46"/>
    </row>
    <row r="86" ht="48.0" customHeight="1">
      <c r="A86" s="49" t="s">
        <v>2018</v>
      </c>
      <c r="B86" s="47" t="s">
        <v>1865</v>
      </c>
      <c r="C86" s="47" t="s">
        <v>1866</v>
      </c>
      <c r="D86" s="48" t="s">
        <v>2019</v>
      </c>
      <c r="E86" s="49" t="s">
        <v>2020</v>
      </c>
      <c r="F86" s="48" t="str">
        <f>IFERROR(__xludf.DUMMYFUNCTION("IF(D86="""","""",IFERROR(TRIM(REGEXEXTRACT(D86, ""^(.*?)(?:,| - )"")), D86))"),"Propane tank cylinder")</f>
        <v>Propane tank cylinder</v>
      </c>
      <c r="G86" s="48" t="str">
        <f>IFERROR(__xludf.DUMMYFUNCTION("IF(D86="""","""",IFERROR(TRIM(REGEXEXTRACT(D86, ""(?:,| - )(.*)$"")), """"))"),"20 lb steel, HORIZONTAL, white")</f>
        <v>20 lb steel, HORIZONTAL, white</v>
      </c>
      <c r="H86" s="48" t="s">
        <v>2021</v>
      </c>
      <c r="I86" s="48" t="s">
        <v>157</v>
      </c>
      <c r="J86" s="48" t="s">
        <v>239</v>
      </c>
      <c r="K86" s="50">
        <v>148.99</v>
      </c>
      <c r="L86" s="51"/>
      <c r="M86" s="51">
        <v>1.0</v>
      </c>
      <c r="N86" s="51">
        <v>2.0</v>
      </c>
      <c r="O86" s="52" t="str">
        <f t="shared" si="3"/>
        <v/>
      </c>
      <c r="P86" s="53" t="str">
        <f t="shared" si="4"/>
        <v/>
      </c>
      <c r="Q86" s="51"/>
      <c r="R86" s="54">
        <v>46238.0</v>
      </c>
      <c r="S86" s="48" t="s">
        <v>2022</v>
      </c>
      <c r="T86" s="46"/>
      <c r="U86" s="46"/>
      <c r="V86" s="46"/>
      <c r="W86" s="46"/>
      <c r="X86" s="46"/>
      <c r="Y86" s="46"/>
      <c r="Z86" s="46"/>
      <c r="AA86" s="46"/>
      <c r="AB86" s="46"/>
    </row>
    <row r="87" ht="48.0" customHeight="1">
      <c r="A87" s="49" t="s">
        <v>2023</v>
      </c>
      <c r="B87" s="47" t="s">
        <v>1865</v>
      </c>
      <c r="C87" s="47" t="s">
        <v>1866</v>
      </c>
      <c r="D87" s="48" t="s">
        <v>2024</v>
      </c>
      <c r="E87" s="49" t="s">
        <v>2025</v>
      </c>
      <c r="F87" s="48" t="str">
        <f>IFERROR(__xludf.DUMMYFUNCTION("IF(D87="""","""",IFERROR(TRIM(REGEXEXTRACT(D87, ""^(.*?)(?:,| - )"")), D87))"),"Hole plug")</f>
        <v>Hole plug</v>
      </c>
      <c r="G87" s="48" t="str">
        <f>IFERROR(__xludf.DUMMYFUNCTION("IF(D87="""","""",IFERROR(TRIM(REGEXEXTRACT(D87, ""(?:,| - )(.*)$"")), """"))"),"1/2"", flush mount, black plastic - body &amp; sheet metal (100-pack)")</f>
        <v>1/2", flush mount, black plastic - body &amp; sheet metal (100-pack)</v>
      </c>
      <c r="H87" s="48" t="s">
        <v>2026</v>
      </c>
      <c r="I87" s="48" t="s">
        <v>157</v>
      </c>
      <c r="J87" s="48" t="s">
        <v>341</v>
      </c>
      <c r="K87" s="50">
        <v>12.99</v>
      </c>
      <c r="L87" s="51"/>
      <c r="M87" s="51">
        <v>1.0</v>
      </c>
      <c r="N87" s="51">
        <v>2.0</v>
      </c>
      <c r="O87" s="52" t="str">
        <f t="shared" si="3"/>
        <v/>
      </c>
      <c r="P87" s="53" t="str">
        <f t="shared" si="4"/>
        <v/>
      </c>
      <c r="Q87" s="51"/>
      <c r="R87" s="54">
        <v>46002.0</v>
      </c>
      <c r="S87" s="48" t="s">
        <v>2027</v>
      </c>
      <c r="T87" s="46"/>
      <c r="U87" s="46"/>
      <c r="V87" s="46"/>
      <c r="W87" s="46"/>
      <c r="X87" s="46"/>
      <c r="Y87" s="46"/>
      <c r="Z87" s="46"/>
      <c r="AA87" s="46"/>
      <c r="AB87" s="46"/>
    </row>
    <row r="88" ht="48.0" customHeight="1">
      <c r="A88" s="49" t="s">
        <v>421</v>
      </c>
      <c r="B88" s="47" t="s">
        <v>1865</v>
      </c>
      <c r="C88" s="47" t="s">
        <v>1866</v>
      </c>
      <c r="D88" s="48" t="s">
        <v>2028</v>
      </c>
      <c r="E88" s="49" t="s">
        <v>2029</v>
      </c>
      <c r="F88" s="48" t="str">
        <f>IFERROR(__xludf.DUMMYFUNCTION("IF(D88="""","""",IFERROR(TRIM(REGEXEXTRACT(D88, ""^(.*?)(?:,| - )"")), D88))"),"Brass half union gas adapter")</f>
        <v>Brass half union gas adapter</v>
      </c>
      <c r="G88" s="48" t="str">
        <f>IFERROR(__xludf.DUMMYFUNCTION("IF(D88="""","""",IFERROR(TRIM(REGEXEXTRACT(D88, ""(?:,| - )(.*)$"")), """"))"),"3/8"" flare x 1/2"" NPT male (2-pack)")</f>
        <v>3/8" flare x 1/2" NPT male (2-pack)</v>
      </c>
      <c r="H88" s="48" t="s">
        <v>2030</v>
      </c>
      <c r="I88" s="48" t="s">
        <v>157</v>
      </c>
      <c r="J88" s="48" t="s">
        <v>618</v>
      </c>
      <c r="K88" s="50">
        <v>8.25</v>
      </c>
      <c r="L88" s="51"/>
      <c r="M88" s="51">
        <v>1.0</v>
      </c>
      <c r="N88" s="51">
        <v>4.0</v>
      </c>
      <c r="O88" s="52" t="str">
        <f t="shared" si="3"/>
        <v/>
      </c>
      <c r="P88" s="53" t="str">
        <f t="shared" si="4"/>
        <v/>
      </c>
      <c r="Q88" s="51"/>
      <c r="R88" s="54">
        <v>45919.0</v>
      </c>
      <c r="S88" s="48" t="s">
        <v>2031</v>
      </c>
      <c r="T88" s="46"/>
      <c r="U88" s="46"/>
      <c r="V88" s="46"/>
      <c r="W88" s="46"/>
      <c r="X88" s="46"/>
      <c r="Y88" s="46"/>
      <c r="Z88" s="46"/>
      <c r="AA88" s="46"/>
      <c r="AB88" s="46"/>
    </row>
    <row r="89" ht="48.0" customHeight="1">
      <c r="A89" s="49" t="s">
        <v>412</v>
      </c>
      <c r="B89" s="47" t="s">
        <v>1865</v>
      </c>
      <c r="C89" s="47" t="s">
        <v>1866</v>
      </c>
      <c r="D89" s="48" t="s">
        <v>481</v>
      </c>
      <c r="E89" s="49" t="s">
        <v>2032</v>
      </c>
      <c r="F89" s="48" t="str">
        <f>IFERROR(__xludf.DUMMYFUNCTION("IF(D89="""","""",IFERROR(TRIM(REGEXEXTRACT(D89, ""^(.*?)(?:,| - )"")), D89))"),"Double roller cabinet catch")</f>
        <v>Double roller cabinet catch</v>
      </c>
      <c r="G89" s="48" t="str">
        <f>IFERROR(__xludf.DUMMYFUNCTION("IF(D89="""","""",IFERROR(TRIM(REGEXEXTRACT(D89, ""(?:,| - )(.*)$"")), """"))"),"black nickel (4-pack)")</f>
        <v>black nickel (4-pack)</v>
      </c>
      <c r="H89" s="48" t="s">
        <v>2033</v>
      </c>
      <c r="I89" s="48" t="s">
        <v>157</v>
      </c>
      <c r="J89" s="48" t="s">
        <v>350</v>
      </c>
      <c r="K89" s="50">
        <v>7.99</v>
      </c>
      <c r="L89" s="51"/>
      <c r="M89" s="51">
        <v>1.0</v>
      </c>
      <c r="N89" s="51">
        <v>4.0</v>
      </c>
      <c r="O89" s="52" t="str">
        <f t="shared" si="3"/>
        <v/>
      </c>
      <c r="P89" s="53" t="str">
        <f t="shared" si="4"/>
        <v/>
      </c>
      <c r="Q89" s="51"/>
      <c r="R89" s="54">
        <v>46028.0</v>
      </c>
      <c r="S89" s="48" t="s">
        <v>2034</v>
      </c>
      <c r="T89" s="46"/>
      <c r="U89" s="46"/>
      <c r="V89" s="46"/>
      <c r="W89" s="46"/>
      <c r="X89" s="46"/>
      <c r="Y89" s="46"/>
      <c r="Z89" s="46"/>
      <c r="AA89" s="46"/>
      <c r="AB89" s="46"/>
    </row>
    <row r="90" ht="48.0" customHeight="1">
      <c r="A90" s="49" t="s">
        <v>2035</v>
      </c>
      <c r="B90" s="47" t="s">
        <v>1865</v>
      </c>
      <c r="C90" s="47" t="s">
        <v>1866</v>
      </c>
      <c r="D90" s="48" t="s">
        <v>2036</v>
      </c>
      <c r="E90" s="49" t="s">
        <v>2037</v>
      </c>
      <c r="F90" s="48" t="str">
        <f>IFERROR(__xludf.DUMMYFUNCTION("IF(D90="""","""",IFERROR(TRIM(REGEXEXTRACT(D90, ""^(.*?)(?:,| - )"")), D90))"),"Cabinet knob")</f>
        <v>Cabinet knob</v>
      </c>
      <c r="G90" s="48" t="str">
        <f>IFERROR(__xludf.DUMMYFUNCTION("IF(D90="""","""",IFERROR(TRIM(REGEXEXTRACT(D90, ""(?:,| - )(.*)$"")), """"))"),"1-3/8"" (35mm) diameter, matte black (10-pack)")</f>
        <v>1-3/8" (35mm) diameter, matte black (10-pack)</v>
      </c>
      <c r="H90" s="48" t="s">
        <v>2038</v>
      </c>
      <c r="I90" s="48" t="s">
        <v>157</v>
      </c>
      <c r="J90" s="48" t="s">
        <v>158</v>
      </c>
      <c r="K90" s="50">
        <v>47.41</v>
      </c>
      <c r="L90" s="51"/>
      <c r="M90" s="51">
        <v>1.0</v>
      </c>
      <c r="N90" s="51">
        <v>4.0</v>
      </c>
      <c r="O90" s="52" t="str">
        <f t="shared" si="3"/>
        <v/>
      </c>
      <c r="P90" s="53" t="str">
        <f t="shared" si="4"/>
        <v/>
      </c>
      <c r="Q90" s="51"/>
      <c r="R90" s="54">
        <v>46105.0</v>
      </c>
      <c r="S90" s="48" t="s">
        <v>2039</v>
      </c>
      <c r="T90" s="46"/>
      <c r="U90" s="46"/>
      <c r="V90" s="46"/>
      <c r="W90" s="46"/>
      <c r="X90" s="46"/>
      <c r="Y90" s="46"/>
      <c r="Z90" s="46"/>
      <c r="AA90" s="46"/>
      <c r="AB90" s="46"/>
    </row>
    <row r="91" ht="48.0" customHeight="1">
      <c r="A91" s="49" t="s">
        <v>2040</v>
      </c>
      <c r="B91" s="47" t="s">
        <v>1865</v>
      </c>
      <c r="C91" s="47" t="s">
        <v>1866</v>
      </c>
      <c r="D91" s="48" t="s">
        <v>2041</v>
      </c>
      <c r="E91" s="49" t="s">
        <v>2042</v>
      </c>
      <c r="F91" s="48" t="str">
        <f>IFERROR(__xludf.DUMMYFUNCTION("IF(D91="""","""",IFERROR(TRIM(REGEXEXTRACT(D91, ""^(.*?)(?:,| - )"")), D91))"),"Cabinet knob")</f>
        <v>Cabinet knob</v>
      </c>
      <c r="G91" s="48" t="str">
        <f>IFERROR(__xludf.DUMMYFUNCTION("IF(D91="""","""",IFERROR(TRIM(REGEXEXTRACT(D91, ""(?:,| - )(.*)$"")), """"))"),"1-3/8"" (35mm) diameter, champagne bronze (10-pack)")</f>
        <v>1-3/8" (35mm) diameter, champagne bronze (10-pack)</v>
      </c>
      <c r="H91" s="48" t="s">
        <v>2043</v>
      </c>
      <c r="I91" s="48" t="s">
        <v>157</v>
      </c>
      <c r="J91" s="48" t="s">
        <v>158</v>
      </c>
      <c r="K91" s="50">
        <v>47.41</v>
      </c>
      <c r="L91" s="51"/>
      <c r="M91" s="51">
        <v>1.0</v>
      </c>
      <c r="N91" s="51">
        <v>4.0</v>
      </c>
      <c r="O91" s="52" t="str">
        <f t="shared" si="3"/>
        <v/>
      </c>
      <c r="P91" s="53" t="str">
        <f t="shared" si="4"/>
        <v/>
      </c>
      <c r="Q91" s="51"/>
      <c r="R91" s="54">
        <v>46105.0</v>
      </c>
      <c r="S91" s="48" t="s">
        <v>2044</v>
      </c>
      <c r="T91" s="46"/>
      <c r="U91" s="46"/>
      <c r="V91" s="46"/>
      <c r="W91" s="46"/>
      <c r="X91" s="46"/>
      <c r="Y91" s="46"/>
      <c r="Z91" s="46"/>
      <c r="AA91" s="46"/>
      <c r="AB91" s="46"/>
    </row>
    <row r="92" ht="48.0" customHeight="1">
      <c r="A92" s="49" t="s">
        <v>2045</v>
      </c>
      <c r="B92" s="47" t="s">
        <v>1865</v>
      </c>
      <c r="C92" s="47" t="s">
        <v>1866</v>
      </c>
      <c r="D92" s="48" t="s">
        <v>2046</v>
      </c>
      <c r="E92" s="49" t="s">
        <v>2047</v>
      </c>
      <c r="F92" s="48" t="str">
        <f>IFERROR(__xludf.DUMMYFUNCTION("IF(D92="""","""",IFERROR(TRIM(REGEXEXTRACT(D92, ""^(.*?)(?:,| - )"")), D92))"),"Cabinet knob")</f>
        <v>Cabinet knob</v>
      </c>
      <c r="G92" s="48" t="str">
        <f>IFERROR(__xludf.DUMMYFUNCTION("IF(D92="""","""",IFERROR(TRIM(REGEXEXTRACT(D92, ""(?:,| - )(.*)$"")), """"))"),"1-3/8"" (35mm) diameter, polished chrome (10-pack)")</f>
        <v>1-3/8" (35mm) diameter, polished chrome (10-pack)</v>
      </c>
      <c r="H92" s="48" t="s">
        <v>2048</v>
      </c>
      <c r="I92" s="48" t="s">
        <v>157</v>
      </c>
      <c r="J92" s="48" t="s">
        <v>158</v>
      </c>
      <c r="K92" s="50">
        <v>47.41</v>
      </c>
      <c r="L92" s="51"/>
      <c r="M92" s="51">
        <v>1.0</v>
      </c>
      <c r="N92" s="51">
        <v>4.0</v>
      </c>
      <c r="O92" s="52" t="str">
        <f t="shared" si="3"/>
        <v/>
      </c>
      <c r="P92" s="53" t="str">
        <f t="shared" si="4"/>
        <v/>
      </c>
      <c r="Q92" s="51"/>
      <c r="R92" s="54">
        <v>46105.0</v>
      </c>
      <c r="S92" s="48" t="s">
        <v>2049</v>
      </c>
      <c r="T92" s="46"/>
      <c r="U92" s="46"/>
      <c r="V92" s="46"/>
      <c r="W92" s="46"/>
      <c r="X92" s="46"/>
      <c r="Y92" s="46"/>
      <c r="Z92" s="46"/>
      <c r="AA92" s="46"/>
      <c r="AB92" s="46"/>
    </row>
    <row r="93" ht="48.0" customHeight="1">
      <c r="A93" s="49" t="s">
        <v>2050</v>
      </c>
      <c r="B93" s="47" t="s">
        <v>1865</v>
      </c>
      <c r="C93" s="47" t="s">
        <v>1866</v>
      </c>
      <c r="D93" s="48" t="s">
        <v>485</v>
      </c>
      <c r="E93" s="49" t="s">
        <v>2051</v>
      </c>
      <c r="F93" s="48" t="str">
        <f>IFERROR(__xludf.DUMMYFUNCTION("IF(D93="""","""",IFERROR(TRIM(REGEXEXTRACT(D93, ""^(.*?)(?:,| - )"")), D93))"),"Double roller cabinet catch")</f>
        <v>Double roller cabinet catch</v>
      </c>
      <c r="G93" s="48" t="str">
        <f>IFERROR(__xludf.DUMMYFUNCTION("IF(D93="""","""",IFERROR(TRIM(REGEXEXTRACT(D93, ""(?:,| - )(.*)$"")), """"))"),"nickel (8-pack)")</f>
        <v>nickel (8-pack)</v>
      </c>
      <c r="H93" s="48" t="s">
        <v>2052</v>
      </c>
      <c r="I93" s="48" t="s">
        <v>157</v>
      </c>
      <c r="J93" s="48" t="s">
        <v>486</v>
      </c>
      <c r="K93" s="50">
        <v>8.99</v>
      </c>
      <c r="L93" s="51"/>
      <c r="M93" s="51">
        <v>1.0</v>
      </c>
      <c r="N93" s="51">
        <v>4.0</v>
      </c>
      <c r="O93" s="52" t="str">
        <f t="shared" si="3"/>
        <v/>
      </c>
      <c r="P93" s="53" t="str">
        <f t="shared" si="4"/>
        <v/>
      </c>
      <c r="Q93" s="51"/>
      <c r="R93" s="54">
        <v>46028.0</v>
      </c>
      <c r="S93" s="48" t="s">
        <v>2053</v>
      </c>
      <c r="T93" s="46"/>
      <c r="U93" s="46"/>
      <c r="V93" s="46"/>
      <c r="W93" s="46"/>
      <c r="X93" s="46"/>
      <c r="Y93" s="46"/>
      <c r="Z93" s="46"/>
      <c r="AA93" s="46"/>
      <c r="AB93" s="46"/>
    </row>
    <row r="94" ht="48.0" customHeight="1">
      <c r="A94" s="49" t="s">
        <v>2054</v>
      </c>
      <c r="B94" s="47" t="s">
        <v>1865</v>
      </c>
      <c r="C94" s="47" t="s">
        <v>1866</v>
      </c>
      <c r="D94" s="48" t="s">
        <v>2055</v>
      </c>
      <c r="E94" s="49" t="s">
        <v>2056</v>
      </c>
      <c r="F94" s="48" t="str">
        <f>IFERROR(__xludf.DUMMYFUNCTION("IF(D94="""","""",IFERROR(TRIM(REGEXEXTRACT(D94, ""^(.*?)(?:,| - )"")), D94))"),"Ipe / hardwood deck oil finish")</f>
        <v>Ipe / hardwood deck oil finish</v>
      </c>
      <c r="G94" s="48" t="str">
        <f>IFERROR(__xludf.DUMMYFUNCTION("IF(D94="""","""",IFERROR(TRIM(REGEXEXTRACT(D94, ""(?:,| - )(.*)$"")), """"))"),"semi-transparent natural, 250 VOC - 1 gallon")</f>
        <v>semi-transparent natural, 250 VOC - 1 gallon</v>
      </c>
      <c r="H94" s="48" t="s">
        <v>2057</v>
      </c>
      <c r="I94" s="48" t="s">
        <v>157</v>
      </c>
      <c r="J94" s="48" t="s">
        <v>282</v>
      </c>
      <c r="K94" s="50">
        <v>74.3</v>
      </c>
      <c r="L94" s="51"/>
      <c r="M94" s="51">
        <v>0.0</v>
      </c>
      <c r="N94" s="51">
        <v>1.0</v>
      </c>
      <c r="O94" s="52" t="str">
        <f t="shared" si="3"/>
        <v/>
      </c>
      <c r="P94" s="53" t="str">
        <f t="shared" si="4"/>
        <v/>
      </c>
      <c r="Q94" s="51"/>
      <c r="R94" s="54">
        <v>45995.0</v>
      </c>
      <c r="S94" s="48" t="s">
        <v>2058</v>
      </c>
      <c r="T94" s="46"/>
      <c r="U94" s="46"/>
      <c r="V94" s="46"/>
      <c r="W94" s="46"/>
      <c r="X94" s="46"/>
      <c r="Y94" s="46"/>
      <c r="Z94" s="46"/>
      <c r="AA94" s="46"/>
      <c r="AB94" s="46"/>
    </row>
    <row r="95" ht="48.0" customHeight="1">
      <c r="A95" s="49" t="s">
        <v>2059</v>
      </c>
      <c r="B95" s="47" t="s">
        <v>1865</v>
      </c>
      <c r="C95" s="47" t="s">
        <v>2060</v>
      </c>
      <c r="D95" s="48" t="s">
        <v>227</v>
      </c>
      <c r="E95" s="49" t="s">
        <v>1308</v>
      </c>
      <c r="F95" s="48" t="str">
        <f>IFERROR(__xludf.DUMMYFUNCTION("IF(D95="""","""",IFERROR(TRIM(REGEXEXTRACT(D95, ""^(.*?)(?:,| - )"")), D95))"),"WASHED WHITE KNITS (RAGS)")</f>
        <v>WASHED WHITE KNITS (RAGS)</v>
      </c>
      <c r="G95" s="48" t="str">
        <f>IFERROR(__xludf.DUMMYFUNCTION("IF(D95="""","""",IFERROR(TRIM(REGEXEXTRACT(D95, ""(?:,| - )(.*)$"")), """"))"),"")</f>
        <v/>
      </c>
      <c r="H95" s="48" t="s">
        <v>228</v>
      </c>
      <c r="I95" s="48" t="s">
        <v>78</v>
      </c>
      <c r="J95" s="48" t="s">
        <v>641</v>
      </c>
      <c r="K95" s="50">
        <v>1.55</v>
      </c>
      <c r="L95" s="51"/>
      <c r="M95" s="51"/>
      <c r="N95" s="51"/>
      <c r="O95" s="52" t="str">
        <f t="shared" si="3"/>
        <v/>
      </c>
      <c r="P95" s="53" t="str">
        <f t="shared" si="4"/>
        <v/>
      </c>
      <c r="Q95" s="51"/>
      <c r="R95" s="54">
        <v>45250.0</v>
      </c>
      <c r="S95" s="48" t="s">
        <v>2061</v>
      </c>
      <c r="T95" s="46"/>
      <c r="U95" s="46"/>
      <c r="V95" s="46"/>
      <c r="W95" s="46"/>
      <c r="X95" s="46"/>
      <c r="Y95" s="46"/>
      <c r="Z95" s="46"/>
      <c r="AA95" s="46"/>
      <c r="AB95" s="46"/>
    </row>
    <row r="96" ht="48.0" customHeight="1">
      <c r="A96" s="49" t="s">
        <v>419</v>
      </c>
      <c r="B96" s="47" t="s">
        <v>1865</v>
      </c>
      <c r="C96" s="47" t="s">
        <v>2060</v>
      </c>
      <c r="D96" s="48" t="s">
        <v>2062</v>
      </c>
      <c r="E96" s="49" t="s">
        <v>2063</v>
      </c>
      <c r="F96" s="48" t="str">
        <f>IFERROR(__xludf.DUMMYFUNCTION("IF(D96="""","""",IFERROR(TRIM(REGEXEXTRACT(D96, ""^(.*?)(?:,| - )"")), D96))"),"14"" 66T Steel Circular Saw Blade")</f>
        <v>14" 66T Steel Circular Saw Blade</v>
      </c>
      <c r="G96" s="48" t="str">
        <f>IFERROR(__xludf.DUMMYFUNCTION("IF(D96="""","""",IFERROR(TRIM(REGEXEXTRACT(D96, ""(?:,| - )(.*)$"")), """"))"),"")</f>
        <v/>
      </c>
      <c r="H96" s="48">
        <v>102841.0</v>
      </c>
      <c r="I96" s="48" t="s">
        <v>1954</v>
      </c>
      <c r="J96" s="48" t="s">
        <v>239</v>
      </c>
      <c r="K96" s="50">
        <v>121.95</v>
      </c>
      <c r="L96" s="51"/>
      <c r="M96" s="51"/>
      <c r="N96" s="51"/>
      <c r="O96" s="52" t="str">
        <f t="shared" si="3"/>
        <v/>
      </c>
      <c r="P96" s="53" t="str">
        <f t="shared" si="4"/>
        <v/>
      </c>
      <c r="Q96" s="51"/>
      <c r="R96" s="54">
        <v>46232.0</v>
      </c>
      <c r="S96" s="48" t="s">
        <v>2064</v>
      </c>
      <c r="T96" s="46"/>
      <c r="U96" s="46"/>
      <c r="V96" s="46"/>
      <c r="W96" s="46"/>
      <c r="X96" s="46"/>
      <c r="Y96" s="46"/>
      <c r="Z96" s="46"/>
      <c r="AA96" s="46"/>
      <c r="AB96" s="46"/>
    </row>
    <row r="97" ht="48.0" customHeight="1">
      <c r="A97" s="49" t="s">
        <v>2065</v>
      </c>
      <c r="B97" s="47" t="s">
        <v>1865</v>
      </c>
      <c r="C97" s="47" t="s">
        <v>2060</v>
      </c>
      <c r="D97" s="48" t="s">
        <v>2066</v>
      </c>
      <c r="E97" s="49" t="s">
        <v>2067</v>
      </c>
      <c r="F97" s="48" t="str">
        <f>IFERROR(__xludf.DUMMYFUNCTION("IF(D97="""","""",IFERROR(TRIM(REGEXEXTRACT(D97, ""^(.*?)(?:,| - )"")), D97))"),"14"" 80T TCT saw blade")</f>
        <v>14" 80T TCT saw blade</v>
      </c>
      <c r="G97" s="48" t="str">
        <f>IFERROR(__xludf.DUMMYFUNCTION("IF(D97="""","""",IFERROR(TRIM(REGEXEXTRACT(D97, ""(?:,| - )(.*)$"")), """"))"),"ALUMINUM cutting, 1"" arbor, max 1600 RPM")</f>
        <v>ALUMINUM cutting, 1" arbor, max 1600 RPM</v>
      </c>
      <c r="H97" s="48" t="s">
        <v>2068</v>
      </c>
      <c r="I97" s="48" t="s">
        <v>2069</v>
      </c>
      <c r="J97" s="48" t="s">
        <v>239</v>
      </c>
      <c r="K97" s="50">
        <v>125.0</v>
      </c>
      <c r="L97" s="51"/>
      <c r="M97" s="51">
        <v>1.0</v>
      </c>
      <c r="N97" s="51">
        <v>2.0</v>
      </c>
      <c r="O97" s="52" t="str">
        <f t="shared" si="3"/>
        <v/>
      </c>
      <c r="P97" s="53" t="str">
        <f t="shared" si="4"/>
        <v/>
      </c>
      <c r="Q97" s="51"/>
      <c r="R97" s="54">
        <v>46134.0</v>
      </c>
      <c r="S97" s="48" t="s">
        <v>2070</v>
      </c>
      <c r="T97" s="46"/>
      <c r="U97" s="46"/>
      <c r="V97" s="46"/>
      <c r="W97" s="46"/>
      <c r="X97" s="46"/>
      <c r="Y97" s="46"/>
      <c r="Z97" s="46"/>
      <c r="AA97" s="46"/>
      <c r="AB97" s="46"/>
    </row>
    <row r="98" ht="48.0" customHeight="1">
      <c r="A98" s="49" t="s">
        <v>2071</v>
      </c>
      <c r="B98" s="47" t="s">
        <v>1865</v>
      </c>
      <c r="C98" s="47" t="s">
        <v>2060</v>
      </c>
      <c r="D98" s="48" t="s">
        <v>193</v>
      </c>
      <c r="E98" s="48" t="s">
        <v>193</v>
      </c>
      <c r="F98" s="48" t="str">
        <f>IFERROR(__xludf.DUMMYFUNCTION("IF(D98="""","""",IFERROR(TRIM(REGEXEXTRACT(D98, ""^(.*?)(?:,| - )"")), D98))"),"1 X 1 X 16GA SQ TUBE")</f>
        <v>1 X 1 X 16GA SQ TUBE</v>
      </c>
      <c r="G98" s="48" t="str">
        <f>IFERROR(__xludf.DUMMYFUNCTION("IF(D98="""","""",IFERROR(TRIM(REGEXEXTRACT(D98, ""(?:,| - )(.*)$"")), """"))"),"")</f>
        <v/>
      </c>
      <c r="H98" s="48" t="s">
        <v>195</v>
      </c>
      <c r="I98" s="48" t="s">
        <v>78</v>
      </c>
      <c r="J98" s="48" t="s">
        <v>2072</v>
      </c>
      <c r="K98" s="50">
        <v>0.96</v>
      </c>
      <c r="L98" s="51"/>
      <c r="M98" s="51"/>
      <c r="N98" s="51"/>
      <c r="O98" s="52" t="str">
        <f t="shared" si="3"/>
        <v/>
      </c>
      <c r="P98" s="53" t="str">
        <f t="shared" si="4"/>
        <v/>
      </c>
      <c r="Q98" s="51"/>
      <c r="R98" s="54">
        <v>45243.0</v>
      </c>
      <c r="S98" s="48" t="s">
        <v>2073</v>
      </c>
      <c r="T98" s="46"/>
      <c r="U98" s="46"/>
      <c r="V98" s="46"/>
      <c r="W98" s="46"/>
      <c r="X98" s="46"/>
      <c r="Y98" s="46"/>
      <c r="Z98" s="46"/>
      <c r="AA98" s="46"/>
      <c r="AB98" s="46"/>
    </row>
    <row r="99" ht="48.0" customHeight="1">
      <c r="A99" s="49" t="s">
        <v>2074</v>
      </c>
      <c r="B99" s="47" t="s">
        <v>1865</v>
      </c>
      <c r="C99" s="47" t="s">
        <v>2060</v>
      </c>
      <c r="D99" s="48" t="s">
        <v>131</v>
      </c>
      <c r="E99" s="48" t="s">
        <v>131</v>
      </c>
      <c r="F99" s="48" t="str">
        <f>IFERROR(__xludf.DUMMYFUNCTION("IF(D99="""","""",IFERROR(TRIM(REGEXEXTRACT(D99, ""^(.*?)(?:,| - )"")), D99))"),"1-1/2 X 1/2 X 16GA REC TUBE")</f>
        <v>1-1/2 X 1/2 X 16GA REC TUBE</v>
      </c>
      <c r="G99" s="48" t="str">
        <f>IFERROR(__xludf.DUMMYFUNCTION("IF(D99="""","""",IFERROR(TRIM(REGEXEXTRACT(D99, ""(?:,| - )(.*)$"")), """"))"),"")</f>
        <v/>
      </c>
      <c r="H99" s="48" t="s">
        <v>132</v>
      </c>
      <c r="I99" s="48" t="s">
        <v>78</v>
      </c>
      <c r="J99" s="48" t="s">
        <v>2072</v>
      </c>
      <c r="K99" s="50">
        <v>0.94</v>
      </c>
      <c r="L99" s="51"/>
      <c r="M99" s="51"/>
      <c r="N99" s="51"/>
      <c r="O99" s="52" t="str">
        <f t="shared" si="3"/>
        <v/>
      </c>
      <c r="P99" s="53" t="str">
        <f t="shared" si="4"/>
        <v/>
      </c>
      <c r="Q99" s="51"/>
      <c r="R99" s="54">
        <v>45231.0</v>
      </c>
      <c r="S99" s="48" t="s">
        <v>2075</v>
      </c>
      <c r="T99" s="46"/>
      <c r="U99" s="46"/>
      <c r="V99" s="46"/>
      <c r="W99" s="46"/>
      <c r="X99" s="46"/>
      <c r="Y99" s="46"/>
      <c r="Z99" s="46"/>
      <c r="AA99" s="46"/>
      <c r="AB99" s="46"/>
    </row>
    <row r="100" ht="48.0" hidden="1" customHeight="1">
      <c r="A100" s="49" t="s">
        <v>2076</v>
      </c>
      <c r="B100" s="47" t="s">
        <v>2077</v>
      </c>
      <c r="C100" s="47" t="s">
        <v>2077</v>
      </c>
      <c r="D100" s="48" t="s">
        <v>2078</v>
      </c>
      <c r="E100" s="49" t="s">
        <v>2079</v>
      </c>
      <c r="F100" s="48" t="str">
        <f>IFERROR(__xludf.DUMMYFUNCTION("IF(D100="""","""",IFERROR(TRIM(REGEXEXTRACT(D100, ""^(.*?)(?:,| - )"")), D100))"),"Touch-up bottle (brush applicator)")</f>
        <v>Touch-up bottle (brush applicator)</v>
      </c>
      <c r="G100" s="48" t="str">
        <f>IFERROR(__xludf.DUMMYFUNCTION("IF(D100="""","""",IFERROR(TRIM(REGEXEXTRACT(D100, ""(?:,| - )(.*)$"")), """"))"),"Black Texture TUB")</f>
        <v>Black Texture TUB</v>
      </c>
      <c r="H100" s="48" t="s">
        <v>2080</v>
      </c>
      <c r="I100" s="48" t="s">
        <v>71</v>
      </c>
      <c r="J100" s="48" t="s">
        <v>2081</v>
      </c>
      <c r="K100" s="50"/>
      <c r="L100" s="51"/>
      <c r="M100" s="51"/>
      <c r="N100" s="51"/>
      <c r="O100" s="52" t="str">
        <f t="shared" si="3"/>
        <v/>
      </c>
      <c r="P100" s="53" t="str">
        <f t="shared" si="4"/>
        <v/>
      </c>
      <c r="Q100" s="51"/>
      <c r="R100" s="54"/>
      <c r="S100" s="48" t="s">
        <v>2082</v>
      </c>
      <c r="T100" s="46"/>
      <c r="U100" s="46"/>
      <c r="V100" s="46"/>
      <c r="W100" s="46"/>
      <c r="X100" s="46"/>
      <c r="Y100" s="46"/>
      <c r="Z100" s="46"/>
      <c r="AA100" s="46"/>
      <c r="AB100" s="46"/>
    </row>
    <row r="101" ht="48.0" customHeight="1">
      <c r="A101" s="49" t="s">
        <v>2083</v>
      </c>
      <c r="B101" s="47" t="s">
        <v>1865</v>
      </c>
      <c r="C101" s="47" t="s">
        <v>2060</v>
      </c>
      <c r="D101" s="48" t="s">
        <v>85</v>
      </c>
      <c r="E101" s="48" t="s">
        <v>85</v>
      </c>
      <c r="F101" s="48" t="str">
        <f>IFERROR(__xludf.DUMMYFUNCTION("IF(D101="""","""",IFERROR(TRIM(REGEXEXTRACT(D101, ""^(.*?)(?:,| - )"")), D101))"),"1/2 HOT ROLLED ROUND SOLID")</f>
        <v>1/2 HOT ROLLED ROUND SOLID</v>
      </c>
      <c r="G101" s="48" t="str">
        <f>IFERROR(__xludf.DUMMYFUNCTION("IF(D101="""","""",IFERROR(TRIM(REGEXEXTRACT(D101, ""(?:,| - )(.*)$"")), """"))"),"")</f>
        <v/>
      </c>
      <c r="H101" s="48" t="s">
        <v>86</v>
      </c>
      <c r="I101" s="48" t="s">
        <v>78</v>
      </c>
      <c r="J101" s="48" t="s">
        <v>2072</v>
      </c>
      <c r="K101" s="50">
        <v>0.69</v>
      </c>
      <c r="L101" s="51"/>
      <c r="M101" s="51"/>
      <c r="N101" s="51"/>
      <c r="O101" s="52" t="str">
        <f t="shared" si="3"/>
        <v/>
      </c>
      <c r="P101" s="53" t="str">
        <f t="shared" si="4"/>
        <v/>
      </c>
      <c r="Q101" s="51"/>
      <c r="R101" s="54">
        <v>45224.0</v>
      </c>
      <c r="S101" s="48" t="s">
        <v>2084</v>
      </c>
      <c r="T101" s="46"/>
      <c r="U101" s="46"/>
      <c r="V101" s="46"/>
      <c r="W101" s="46"/>
      <c r="X101" s="46"/>
      <c r="Y101" s="46"/>
      <c r="Z101" s="46"/>
      <c r="AA101" s="46"/>
      <c r="AB101" s="46"/>
    </row>
    <row r="102" ht="48.0" customHeight="1">
      <c r="A102" s="49" t="s">
        <v>2085</v>
      </c>
      <c r="B102" s="47" t="s">
        <v>1865</v>
      </c>
      <c r="C102" s="47" t="s">
        <v>2060</v>
      </c>
      <c r="D102" s="48" t="s">
        <v>303</v>
      </c>
      <c r="E102" s="48" t="s">
        <v>303</v>
      </c>
      <c r="F102" s="48" t="str">
        <f>IFERROR(__xludf.DUMMYFUNCTION("IF(D102="""","""",IFERROR(TRIM(REGEXEXTRACT(D102, ""^(.*?)(?:,| - )"")), D102))"),"1/4 X 1 HR FLAT BAR")</f>
        <v>1/4 X 1 HR FLAT BAR</v>
      </c>
      <c r="G102" s="48" t="str">
        <f>IFERROR(__xludf.DUMMYFUNCTION("IF(D102="""","""",IFERROR(TRIM(REGEXEXTRACT(D102, ""(?:,| - )(.*)$"")), """"))"),"")</f>
        <v/>
      </c>
      <c r="H102" s="48" t="s">
        <v>305</v>
      </c>
      <c r="I102" s="48" t="s">
        <v>78</v>
      </c>
      <c r="J102" s="48" t="s">
        <v>2072</v>
      </c>
      <c r="K102" s="50">
        <v>0.88</v>
      </c>
      <c r="L102" s="51"/>
      <c r="M102" s="51"/>
      <c r="N102" s="51"/>
      <c r="O102" s="52" t="str">
        <f t="shared" si="3"/>
        <v/>
      </c>
      <c r="P102" s="53" t="str">
        <f t="shared" si="4"/>
        <v/>
      </c>
      <c r="Q102" s="51"/>
      <c r="R102" s="54">
        <v>45266.0</v>
      </c>
      <c r="S102" s="48" t="s">
        <v>2086</v>
      </c>
      <c r="T102" s="46"/>
      <c r="U102" s="46"/>
      <c r="V102" s="46"/>
      <c r="W102" s="46"/>
      <c r="X102" s="46"/>
      <c r="Y102" s="46"/>
      <c r="Z102" s="46"/>
      <c r="AA102" s="46"/>
      <c r="AB102" s="46"/>
    </row>
    <row r="103" ht="48.0" customHeight="1">
      <c r="A103" s="49" t="s">
        <v>2087</v>
      </c>
      <c r="B103" s="47" t="s">
        <v>1865</v>
      </c>
      <c r="C103" s="47" t="s">
        <v>2060</v>
      </c>
      <c r="D103" s="48" t="s">
        <v>89</v>
      </c>
      <c r="E103" s="48" t="s">
        <v>89</v>
      </c>
      <c r="F103" s="48" t="str">
        <f>IFERROR(__xludf.DUMMYFUNCTION("IF(D103="""","""",IFERROR(TRIM(REGEXEXTRACT(D103, ""^(.*?)(?:,| - )"")), D103))"),"1/8 X 1-1/2 HR FLAT BAR")</f>
        <v>1/8 X 1-1/2 HR FLAT BAR</v>
      </c>
      <c r="G103" s="48" t="str">
        <f>IFERROR(__xludf.DUMMYFUNCTION("IF(D103="""","""",IFERROR(TRIM(REGEXEXTRACT(D103, ""(?:,| - )(.*)$"")), """"))"),"")</f>
        <v/>
      </c>
      <c r="H103" s="48" t="s">
        <v>90</v>
      </c>
      <c r="I103" s="48" t="s">
        <v>78</v>
      </c>
      <c r="J103" s="48" t="s">
        <v>2072</v>
      </c>
      <c r="K103" s="50">
        <v>0.75</v>
      </c>
      <c r="L103" s="51"/>
      <c r="M103" s="51"/>
      <c r="N103" s="51"/>
      <c r="O103" s="52" t="str">
        <f t="shared" si="3"/>
        <v/>
      </c>
      <c r="P103" s="53" t="str">
        <f t="shared" si="4"/>
        <v/>
      </c>
      <c r="Q103" s="51"/>
      <c r="R103" s="54">
        <v>45224.0</v>
      </c>
      <c r="S103" s="48" t="s">
        <v>2088</v>
      </c>
      <c r="T103" s="46"/>
      <c r="U103" s="46"/>
      <c r="V103" s="46"/>
      <c r="W103" s="46"/>
      <c r="X103" s="46"/>
      <c r="Y103" s="46"/>
      <c r="Z103" s="46"/>
      <c r="AA103" s="46"/>
      <c r="AB103" s="46"/>
    </row>
    <row r="104" ht="48.0" customHeight="1">
      <c r="A104" s="49" t="s">
        <v>2089</v>
      </c>
      <c r="B104" s="47" t="s">
        <v>1865</v>
      </c>
      <c r="C104" s="47" t="s">
        <v>2060</v>
      </c>
      <c r="D104" s="48" t="s">
        <v>119</v>
      </c>
      <c r="E104" s="48" t="s">
        <v>119</v>
      </c>
      <c r="F104" s="48" t="str">
        <f>IFERROR(__xludf.DUMMYFUNCTION("IF(D104="""","""",IFERROR(TRIM(REGEXEXTRACT(D104, ""^(.*?)(?:,| - )"")), D104))"),"2 X 1 X 11GA REC TUBE")</f>
        <v>2 X 1 X 11GA REC TUBE</v>
      </c>
      <c r="G104" s="48" t="str">
        <f>IFERROR(__xludf.DUMMYFUNCTION("IF(D104="""","""",IFERROR(TRIM(REGEXEXTRACT(D104, ""(?:,| - )(.*)$"")), """"))"),"")</f>
        <v/>
      </c>
      <c r="H104" s="48" t="s">
        <v>120</v>
      </c>
      <c r="I104" s="48" t="s">
        <v>78</v>
      </c>
      <c r="J104" s="48" t="s">
        <v>2072</v>
      </c>
      <c r="K104" s="50">
        <v>3.32</v>
      </c>
      <c r="L104" s="51"/>
      <c r="M104" s="51"/>
      <c r="N104" s="51"/>
      <c r="O104" s="52" t="str">
        <f t="shared" si="3"/>
        <v/>
      </c>
      <c r="P104" s="53" t="str">
        <f t="shared" si="4"/>
        <v/>
      </c>
      <c r="Q104" s="51"/>
      <c r="R104" s="54">
        <v>45274.0</v>
      </c>
      <c r="S104" s="48" t="s">
        <v>2090</v>
      </c>
      <c r="T104" s="46"/>
      <c r="U104" s="46"/>
      <c r="V104" s="46"/>
      <c r="W104" s="46"/>
      <c r="X104" s="46"/>
      <c r="Y104" s="46"/>
      <c r="Z104" s="46"/>
      <c r="AA104" s="46"/>
      <c r="AB104" s="46"/>
    </row>
    <row r="105" ht="48.0" customHeight="1">
      <c r="A105" s="49" t="s">
        <v>2091</v>
      </c>
      <c r="B105" s="47" t="s">
        <v>1865</v>
      </c>
      <c r="C105" s="47" t="s">
        <v>2060</v>
      </c>
      <c r="D105" s="48" t="s">
        <v>189</v>
      </c>
      <c r="E105" s="48" t="s">
        <v>189</v>
      </c>
      <c r="F105" s="48" t="str">
        <f>IFERROR(__xludf.DUMMYFUNCTION("IF(D105="""","""",IFERROR(TRIM(REGEXEXTRACT(D105, ""^(.*?)(?:,| - )"")), D105))"),"2 X 1 X 16GA REC TUBE")</f>
        <v>2 X 1 X 16GA REC TUBE</v>
      </c>
      <c r="G105" s="48" t="str">
        <f>IFERROR(__xludf.DUMMYFUNCTION("IF(D105="""","""",IFERROR(TRIM(REGEXEXTRACT(D105, ""(?:,| - )(.*)$"")), """"))"),"")</f>
        <v/>
      </c>
      <c r="H105" s="48" t="s">
        <v>190</v>
      </c>
      <c r="I105" s="48" t="s">
        <v>78</v>
      </c>
      <c r="J105" s="48" t="s">
        <v>2072</v>
      </c>
      <c r="K105" s="50">
        <v>1.6</v>
      </c>
      <c r="L105" s="51"/>
      <c r="M105" s="51"/>
      <c r="N105" s="51"/>
      <c r="O105" s="52" t="str">
        <f t="shared" si="3"/>
        <v/>
      </c>
      <c r="P105" s="53" t="str">
        <f t="shared" si="4"/>
        <v/>
      </c>
      <c r="Q105" s="51"/>
      <c r="R105" s="54">
        <v>45274.0</v>
      </c>
      <c r="S105" s="48" t="s">
        <v>2092</v>
      </c>
      <c r="T105" s="46"/>
      <c r="U105" s="46"/>
      <c r="V105" s="46"/>
      <c r="W105" s="46"/>
      <c r="X105" s="46"/>
      <c r="Y105" s="46"/>
      <c r="Z105" s="46"/>
      <c r="AA105" s="46"/>
      <c r="AB105" s="46"/>
    </row>
    <row r="106" ht="48.0" customHeight="1">
      <c r="A106" s="49" t="s">
        <v>2093</v>
      </c>
      <c r="B106" s="47" t="s">
        <v>1865</v>
      </c>
      <c r="C106" s="47" t="s">
        <v>2060</v>
      </c>
      <c r="D106" s="48" t="s">
        <v>122</v>
      </c>
      <c r="E106" s="48" t="s">
        <v>122</v>
      </c>
      <c r="F106" s="48" t="str">
        <f>IFERROR(__xludf.DUMMYFUNCTION("IF(D106="""","""",IFERROR(TRIM(REGEXEXTRACT(D106, ""^(.*?)(?:,| - )"")), D106))"),"2 X 2 X 11GA SQ TUBE")</f>
        <v>2 X 2 X 11GA SQ TUBE</v>
      </c>
      <c r="G106" s="48" t="str">
        <f>IFERROR(__xludf.DUMMYFUNCTION("IF(D106="""","""",IFERROR(TRIM(REGEXEXTRACT(D106, ""(?:,| - )(.*)$"")), """"))"),"")</f>
        <v/>
      </c>
      <c r="H106" s="48" t="s">
        <v>123</v>
      </c>
      <c r="I106" s="48" t="s">
        <v>78</v>
      </c>
      <c r="J106" s="48" t="s">
        <v>2072</v>
      </c>
      <c r="K106" s="50">
        <v>4.24</v>
      </c>
      <c r="L106" s="51"/>
      <c r="M106" s="51"/>
      <c r="N106" s="51"/>
      <c r="O106" s="52" t="str">
        <f t="shared" si="3"/>
        <v/>
      </c>
      <c r="P106" s="53" t="str">
        <f t="shared" si="4"/>
        <v/>
      </c>
      <c r="Q106" s="51"/>
      <c r="R106" s="54">
        <v>45267.0</v>
      </c>
      <c r="S106" s="48" t="s">
        <v>2094</v>
      </c>
      <c r="T106" s="46"/>
      <c r="U106" s="46"/>
      <c r="V106" s="46"/>
      <c r="W106" s="46"/>
      <c r="X106" s="46"/>
      <c r="Y106" s="46"/>
      <c r="Z106" s="46"/>
      <c r="AA106" s="46"/>
      <c r="AB106" s="46"/>
    </row>
    <row r="107" ht="48.0" customHeight="1">
      <c r="A107" s="49" t="s">
        <v>2095</v>
      </c>
      <c r="B107" s="47" t="s">
        <v>1865</v>
      </c>
      <c r="C107" s="47" t="s">
        <v>2060</v>
      </c>
      <c r="D107" s="48" t="s">
        <v>79</v>
      </c>
      <c r="E107" s="48" t="s">
        <v>79</v>
      </c>
      <c r="F107" s="48" t="str">
        <f>IFERROR(__xludf.DUMMYFUNCTION("IF(D107="""","""",IFERROR(TRIM(REGEXEXTRACT(D107, ""^(.*?)(?:,| - )"")), D107))"),"2 X 2 X 16GA SQ TUBE")</f>
        <v>2 X 2 X 16GA SQ TUBE</v>
      </c>
      <c r="G107" s="48" t="str">
        <f>IFERROR(__xludf.DUMMYFUNCTION("IF(D107="""","""",IFERROR(TRIM(REGEXEXTRACT(D107, ""(?:,| - )(.*)$"")), """"))"),"")</f>
        <v/>
      </c>
      <c r="H107" s="48" t="s">
        <v>80</v>
      </c>
      <c r="I107" s="48" t="s">
        <v>78</v>
      </c>
      <c r="J107" s="48" t="s">
        <v>2072</v>
      </c>
      <c r="K107" s="50">
        <v>2.2</v>
      </c>
      <c r="L107" s="51"/>
      <c r="M107" s="51"/>
      <c r="N107" s="51"/>
      <c r="O107" s="52" t="str">
        <f t="shared" si="3"/>
        <v/>
      </c>
      <c r="P107" s="53" t="str">
        <f t="shared" si="4"/>
        <v/>
      </c>
      <c r="Q107" s="51"/>
      <c r="R107" s="54">
        <v>45274.0</v>
      </c>
      <c r="S107" s="48" t="s">
        <v>2096</v>
      </c>
      <c r="T107" s="46"/>
      <c r="U107" s="46"/>
      <c r="V107" s="46"/>
      <c r="W107" s="46"/>
      <c r="X107" s="46"/>
      <c r="Y107" s="46"/>
      <c r="Z107" s="46"/>
      <c r="AA107" s="46"/>
      <c r="AB107" s="46"/>
    </row>
    <row r="108" ht="48.0" customHeight="1">
      <c r="A108" s="49" t="s">
        <v>2097</v>
      </c>
      <c r="B108" s="47" t="s">
        <v>1865</v>
      </c>
      <c r="C108" s="47" t="s">
        <v>2060</v>
      </c>
      <c r="D108" s="48" t="s">
        <v>87</v>
      </c>
      <c r="E108" s="48" t="s">
        <v>87</v>
      </c>
      <c r="F108" s="48" t="str">
        <f>IFERROR(__xludf.DUMMYFUNCTION("IF(D108="""","""",IFERROR(TRIM(REGEXEXTRACT(D108, ""^(.*?)(?:,| - )"")), D108))"),"2 X 3/4 X 16GA REC TUBE")</f>
        <v>2 X 3/4 X 16GA REC TUBE</v>
      </c>
      <c r="G108" s="48" t="str">
        <f>IFERROR(__xludf.DUMMYFUNCTION("IF(D108="""","""",IFERROR(TRIM(REGEXEXTRACT(D108, ""(?:,| - )(.*)$"")), """"))"),"")</f>
        <v/>
      </c>
      <c r="H108" s="48" t="s">
        <v>88</v>
      </c>
      <c r="I108" s="48" t="s">
        <v>78</v>
      </c>
      <c r="J108" s="48" t="s">
        <v>2072</v>
      </c>
      <c r="K108" s="50">
        <v>2.14</v>
      </c>
      <c r="L108" s="51"/>
      <c r="M108" s="51"/>
      <c r="N108" s="51"/>
      <c r="O108" s="52" t="str">
        <f t="shared" si="3"/>
        <v/>
      </c>
      <c r="P108" s="53" t="str">
        <f t="shared" si="4"/>
        <v/>
      </c>
      <c r="Q108" s="51"/>
      <c r="R108" s="54">
        <v>45224.0</v>
      </c>
      <c r="S108" s="48" t="s">
        <v>2098</v>
      </c>
      <c r="T108" s="46"/>
      <c r="U108" s="46"/>
      <c r="V108" s="46"/>
      <c r="W108" s="46"/>
      <c r="X108" s="46"/>
      <c r="Y108" s="46"/>
      <c r="Z108" s="46"/>
      <c r="AA108" s="46"/>
      <c r="AB108" s="46"/>
    </row>
    <row r="109" ht="48.0" customHeight="1">
      <c r="A109" s="49" t="s">
        <v>2099</v>
      </c>
      <c r="B109" s="47" t="s">
        <v>1865</v>
      </c>
      <c r="C109" s="47" t="s">
        <v>2060</v>
      </c>
      <c r="D109" s="48" t="s">
        <v>276</v>
      </c>
      <c r="E109" s="48" t="s">
        <v>276</v>
      </c>
      <c r="F109" s="48" t="str">
        <f>IFERROR(__xludf.DUMMYFUNCTION("IF(D109="""","""",IFERROR(TRIM(REGEXEXTRACT(D109, ""^(.*?)(?:,| - )"")), D109))"),"3 X 2 X 16GA REC TUBE")</f>
        <v>3 X 2 X 16GA REC TUBE</v>
      </c>
      <c r="G109" s="48" t="str">
        <f>IFERROR(__xludf.DUMMYFUNCTION("IF(D109="""","""",IFERROR(TRIM(REGEXEXTRACT(D109, ""(?:,| - )(.*)$"")), """"))"),"")</f>
        <v/>
      </c>
      <c r="H109" s="48" t="s">
        <v>278</v>
      </c>
      <c r="I109" s="48" t="s">
        <v>78</v>
      </c>
      <c r="J109" s="48" t="s">
        <v>2072</v>
      </c>
      <c r="K109" s="50">
        <v>2.76</v>
      </c>
      <c r="L109" s="51"/>
      <c r="M109" s="51"/>
      <c r="N109" s="51"/>
      <c r="O109" s="52" t="str">
        <f t="shared" si="3"/>
        <v/>
      </c>
      <c r="P109" s="53" t="str">
        <f t="shared" si="4"/>
        <v/>
      </c>
      <c r="Q109" s="51"/>
      <c r="R109" s="54">
        <v>45264.0</v>
      </c>
      <c r="S109" s="48" t="s">
        <v>2100</v>
      </c>
      <c r="T109" s="46"/>
      <c r="U109" s="46"/>
      <c r="V109" s="46"/>
      <c r="W109" s="46"/>
      <c r="X109" s="46"/>
      <c r="Y109" s="46"/>
      <c r="Z109" s="46"/>
      <c r="AA109" s="46"/>
      <c r="AB109" s="46"/>
    </row>
    <row r="110" ht="48.0" customHeight="1">
      <c r="A110" s="49" t="s">
        <v>2101</v>
      </c>
      <c r="B110" s="47" t="s">
        <v>1865</v>
      </c>
      <c r="C110" s="47" t="s">
        <v>2060</v>
      </c>
      <c r="D110" s="48" t="s">
        <v>113</v>
      </c>
      <c r="E110" s="48" t="s">
        <v>113</v>
      </c>
      <c r="F110" s="48" t="str">
        <f>IFERROR(__xludf.DUMMYFUNCTION("IF(D110="""","""",IFERROR(TRIM(REGEXEXTRACT(D110, ""^(.*?)(?:,| - )"")), D110))"),"3/16 X 1-1/2 HR FLAT BAR")</f>
        <v>3/16 X 1-1/2 HR FLAT BAR</v>
      </c>
      <c r="G110" s="48" t="str">
        <f>IFERROR(__xludf.DUMMYFUNCTION("IF(D110="""","""",IFERROR(TRIM(REGEXEXTRACT(D110, ""(?:,| - )(.*)$"")), """"))"),"")</f>
        <v/>
      </c>
      <c r="H110" s="48" t="s">
        <v>114</v>
      </c>
      <c r="I110" s="48" t="s">
        <v>78</v>
      </c>
      <c r="J110" s="48" t="s">
        <v>2072</v>
      </c>
      <c r="K110" s="50">
        <v>1.06</v>
      </c>
      <c r="L110" s="51"/>
      <c r="M110" s="51"/>
      <c r="N110" s="51"/>
      <c r="O110" s="52" t="str">
        <f t="shared" si="3"/>
        <v/>
      </c>
      <c r="P110" s="53" t="str">
        <f t="shared" si="4"/>
        <v/>
      </c>
      <c r="Q110" s="51"/>
      <c r="R110" s="54">
        <v>45225.0</v>
      </c>
      <c r="S110" s="48" t="s">
        <v>2102</v>
      </c>
      <c r="T110" s="46"/>
      <c r="U110" s="46"/>
      <c r="V110" s="46"/>
      <c r="W110" s="46"/>
      <c r="X110" s="46"/>
      <c r="Y110" s="46"/>
      <c r="Z110" s="46"/>
      <c r="AA110" s="46"/>
      <c r="AB110" s="46"/>
    </row>
    <row r="111" ht="48.0" customHeight="1">
      <c r="A111" s="49" t="s">
        <v>2103</v>
      </c>
      <c r="B111" s="47" t="s">
        <v>1865</v>
      </c>
      <c r="C111" s="47" t="s">
        <v>2060</v>
      </c>
      <c r="D111" s="48" t="s">
        <v>115</v>
      </c>
      <c r="E111" s="48" t="s">
        <v>115</v>
      </c>
      <c r="F111" s="48" t="str">
        <f>IFERROR(__xludf.DUMMYFUNCTION("IF(D111="""","""",IFERROR(TRIM(REGEXEXTRACT(D111, ""^(.*?)(?:,| - )"")), D111))"),"3/16 X 2 HR FLAT BAR")</f>
        <v>3/16 X 2 HR FLAT BAR</v>
      </c>
      <c r="G111" s="48" t="str">
        <f>IFERROR(__xludf.DUMMYFUNCTION("IF(D111="""","""",IFERROR(TRIM(REGEXEXTRACT(D111, ""(?:,| - )(.*)$"")), """"))"),"")</f>
        <v/>
      </c>
      <c r="H111" s="48" t="s">
        <v>116</v>
      </c>
      <c r="I111" s="48" t="s">
        <v>78</v>
      </c>
      <c r="J111" s="48" t="s">
        <v>2072</v>
      </c>
      <c r="K111" s="50">
        <v>1.32</v>
      </c>
      <c r="L111" s="51"/>
      <c r="M111" s="51"/>
      <c r="N111" s="51"/>
      <c r="O111" s="52" t="str">
        <f t="shared" si="3"/>
        <v/>
      </c>
      <c r="P111" s="53" t="str">
        <f t="shared" si="4"/>
        <v/>
      </c>
      <c r="Q111" s="51"/>
      <c r="R111" s="54">
        <v>45225.0</v>
      </c>
      <c r="S111" s="48" t="s">
        <v>2104</v>
      </c>
      <c r="T111" s="46"/>
      <c r="U111" s="46"/>
      <c r="V111" s="46"/>
      <c r="W111" s="46"/>
      <c r="X111" s="46"/>
      <c r="Y111" s="46"/>
      <c r="Z111" s="46"/>
      <c r="AA111" s="46"/>
      <c r="AB111" s="46"/>
    </row>
    <row r="112" ht="48.0" customHeight="1">
      <c r="A112" s="49" t="s">
        <v>2105</v>
      </c>
      <c r="B112" s="47" t="s">
        <v>1865</v>
      </c>
      <c r="C112" s="47" t="s">
        <v>2060</v>
      </c>
      <c r="D112" s="48" t="s">
        <v>217</v>
      </c>
      <c r="E112" s="48" t="s">
        <v>217</v>
      </c>
      <c r="F112" s="48" t="str">
        <f>IFERROR(__xludf.DUMMYFUNCTION("IF(D112="""","""",IFERROR(TRIM(REGEXEXTRACT(D112, ""^(.*?)(?:,| - )"")), D112))"),"3/4 X 14GA RD TUBE")</f>
        <v>3/4 X 14GA RD TUBE</v>
      </c>
      <c r="G112" s="48" t="str">
        <f>IFERROR(__xludf.DUMMYFUNCTION("IF(D112="""","""",IFERROR(TRIM(REGEXEXTRACT(D112, ""(?:,| - )(.*)$"")), """"))"),"")</f>
        <v/>
      </c>
      <c r="H112" s="48" t="s">
        <v>219</v>
      </c>
      <c r="I112" s="48" t="s">
        <v>78</v>
      </c>
      <c r="J112" s="48" t="s">
        <v>2072</v>
      </c>
      <c r="K112" s="50">
        <v>0.92</v>
      </c>
      <c r="L112" s="51"/>
      <c r="M112" s="51"/>
      <c r="N112" s="51"/>
      <c r="O112" s="52" t="str">
        <f t="shared" si="3"/>
        <v/>
      </c>
      <c r="P112" s="53" t="str">
        <f t="shared" si="4"/>
        <v/>
      </c>
      <c r="Q112" s="51"/>
      <c r="R112" s="54">
        <v>45266.0</v>
      </c>
      <c r="S112" s="48" t="s">
        <v>2106</v>
      </c>
      <c r="T112" s="46"/>
      <c r="U112" s="46"/>
      <c r="V112" s="46"/>
      <c r="W112" s="46"/>
      <c r="X112" s="46"/>
      <c r="Y112" s="46"/>
      <c r="Z112" s="46"/>
      <c r="AA112" s="46"/>
      <c r="AB112" s="46"/>
    </row>
    <row r="113" ht="48.0" customHeight="1">
      <c r="A113" s="49" t="s">
        <v>2107</v>
      </c>
      <c r="B113" s="47" t="s">
        <v>1865</v>
      </c>
      <c r="C113" s="47" t="s">
        <v>2060</v>
      </c>
      <c r="D113" s="48" t="s">
        <v>283</v>
      </c>
      <c r="E113" s="48" t="s">
        <v>283</v>
      </c>
      <c r="F113" s="48" t="str">
        <f>IFERROR(__xludf.DUMMYFUNCTION("IF(D113="""","""",IFERROR(TRIM(REGEXEXTRACT(D113, ""^(.*?)(?:,| - )"")), D113))"),"4 X 2 X 16GA REC TUBE")</f>
        <v>4 X 2 X 16GA REC TUBE</v>
      </c>
      <c r="G113" s="48" t="str">
        <f>IFERROR(__xludf.DUMMYFUNCTION("IF(D113="""","""",IFERROR(TRIM(REGEXEXTRACT(D113, ""(?:,| - )(.*)$"")), """"))"),"")</f>
        <v/>
      </c>
      <c r="H113" s="48" t="s">
        <v>284</v>
      </c>
      <c r="I113" s="48" t="s">
        <v>78</v>
      </c>
      <c r="J113" s="48" t="s">
        <v>2072</v>
      </c>
      <c r="K113" s="50">
        <v>3.3</v>
      </c>
      <c r="L113" s="51"/>
      <c r="M113" s="51"/>
      <c r="N113" s="51"/>
      <c r="O113" s="52" t="str">
        <f t="shared" si="3"/>
        <v/>
      </c>
      <c r="P113" s="53" t="str">
        <f t="shared" si="4"/>
        <v/>
      </c>
      <c r="Q113" s="51"/>
      <c r="R113" s="54">
        <v>45264.0</v>
      </c>
      <c r="S113" s="48" t="s">
        <v>2108</v>
      </c>
      <c r="T113" s="46"/>
      <c r="U113" s="46"/>
      <c r="V113" s="46"/>
      <c r="W113" s="46"/>
      <c r="X113" s="46"/>
      <c r="Y113" s="46"/>
      <c r="Z113" s="46"/>
      <c r="AA113" s="46"/>
      <c r="AB113" s="46"/>
    </row>
    <row r="114" ht="48.0" customHeight="1">
      <c r="A114" s="49" t="s">
        <v>401</v>
      </c>
      <c r="B114" s="47" t="s">
        <v>1865</v>
      </c>
      <c r="C114" s="47" t="s">
        <v>2060</v>
      </c>
      <c r="D114" s="48" t="s">
        <v>133</v>
      </c>
      <c r="E114" s="48" t="s">
        <v>133</v>
      </c>
      <c r="F114" s="48" t="str">
        <f>IFERROR(__xludf.DUMMYFUNCTION("IF(D114="""","""",IFERROR(TRIM(REGEXEXTRACT(D114, ""^(.*?)(?:,| - )"")), D114))"),"HOT ROLLED SHEET 16 GAUGE")</f>
        <v>HOT ROLLED SHEET 16 GAUGE</v>
      </c>
      <c r="G114" s="48" t="str">
        <f>IFERROR(__xludf.DUMMYFUNCTION("IF(D114="""","""",IFERROR(TRIM(REGEXEXTRACT(D114, ""(?:,| - )(.*)$"")), """"))"),"")</f>
        <v/>
      </c>
      <c r="H114" s="48" t="s">
        <v>134</v>
      </c>
      <c r="I114" s="48" t="s">
        <v>78</v>
      </c>
      <c r="J114" s="48" t="s">
        <v>2109</v>
      </c>
      <c r="K114" s="50">
        <v>116.1</v>
      </c>
      <c r="L114" s="51"/>
      <c r="M114" s="51"/>
      <c r="N114" s="51"/>
      <c r="O114" s="52" t="str">
        <f t="shared" si="3"/>
        <v/>
      </c>
      <c r="P114" s="53" t="str">
        <f t="shared" si="4"/>
        <v/>
      </c>
      <c r="Q114" s="51"/>
      <c r="R114" s="54">
        <v>45231.0</v>
      </c>
      <c r="S114" s="48" t="s">
        <v>2110</v>
      </c>
      <c r="T114" s="46"/>
      <c r="U114" s="46"/>
      <c r="V114" s="46"/>
      <c r="W114" s="46"/>
      <c r="X114" s="46"/>
      <c r="Y114" s="46"/>
      <c r="Z114" s="46"/>
      <c r="AA114" s="46"/>
      <c r="AB114" s="46"/>
    </row>
    <row r="115" ht="48.0" customHeight="1">
      <c r="A115" s="49" t="s">
        <v>2111</v>
      </c>
      <c r="B115" s="47" t="s">
        <v>1865</v>
      </c>
      <c r="C115" s="47" t="s">
        <v>2060</v>
      </c>
      <c r="D115" s="48" t="s">
        <v>743</v>
      </c>
      <c r="E115" s="48" t="s">
        <v>743</v>
      </c>
      <c r="F115" s="48" t="str">
        <f>IFERROR(__xludf.DUMMYFUNCTION("IF(D115="""","""",IFERROR(TRIM(REGEXEXTRACT(D115, ""^(.*?)(?:,| - )"")), D115))"),"HR Steel Flat 1/4 x 2")</f>
        <v>HR Steel Flat 1/4 x 2</v>
      </c>
      <c r="G115" s="48" t="str">
        <f>IFERROR(__xludf.DUMMYFUNCTION("IF(D115="""","""",IFERROR(TRIM(REGEXEXTRACT(D115, ""(?:,| - )(.*)$"")), """"))"),"")</f>
        <v/>
      </c>
      <c r="H115" s="48">
        <v>1.00252E7</v>
      </c>
      <c r="I115" s="48" t="s">
        <v>41</v>
      </c>
      <c r="J115" s="48" t="s">
        <v>2072</v>
      </c>
      <c r="K115" s="50">
        <v>2.16</v>
      </c>
      <c r="L115" s="51"/>
      <c r="M115" s="51"/>
      <c r="N115" s="51"/>
      <c r="O115" s="52" t="str">
        <f t="shared" si="3"/>
        <v/>
      </c>
      <c r="P115" s="53" t="str">
        <f t="shared" si="4"/>
        <v/>
      </c>
      <c r="Q115" s="51"/>
      <c r="R115" s="54">
        <v>45701.0</v>
      </c>
      <c r="S115" s="48"/>
      <c r="T115" s="46"/>
      <c r="U115" s="46"/>
      <c r="V115" s="46"/>
      <c r="W115" s="46"/>
      <c r="X115" s="46"/>
      <c r="Y115" s="46"/>
      <c r="Z115" s="46"/>
      <c r="AA115" s="46"/>
      <c r="AB115" s="46"/>
    </row>
    <row r="116" ht="48.0" customHeight="1">
      <c r="A116" s="49" t="s">
        <v>2112</v>
      </c>
      <c r="B116" s="47" t="s">
        <v>1865</v>
      </c>
      <c r="C116" s="47" t="s">
        <v>2060</v>
      </c>
      <c r="D116" s="48" t="s">
        <v>68</v>
      </c>
      <c r="E116" s="48" t="s">
        <v>68</v>
      </c>
      <c r="F116" s="48" t="str">
        <f>IFERROR(__xludf.DUMMYFUNCTION("IF(D116="""","""",IFERROR(TRIM(REGEXEXTRACT(D116, ""^(.*?)(?:,| - )"")), D116))"),"HR Steel Flat 1/4 x 3")</f>
        <v>HR Steel Flat 1/4 x 3</v>
      </c>
      <c r="G116" s="48" t="str">
        <f>IFERROR(__xludf.DUMMYFUNCTION("IF(D116="""","""",IFERROR(TRIM(REGEXEXTRACT(D116, ""(?:,| - )(.*)$"")), """"))"),"")</f>
        <v/>
      </c>
      <c r="H116" s="48">
        <v>1.00253E7</v>
      </c>
      <c r="I116" s="48" t="s">
        <v>41</v>
      </c>
      <c r="J116" s="48" t="s">
        <v>2072</v>
      </c>
      <c r="K116" s="50">
        <v>4.03</v>
      </c>
      <c r="L116" s="51"/>
      <c r="M116" s="51"/>
      <c r="N116" s="51"/>
      <c r="O116" s="52" t="str">
        <f t="shared" si="3"/>
        <v/>
      </c>
      <c r="P116" s="53" t="str">
        <f t="shared" si="4"/>
        <v/>
      </c>
      <c r="Q116" s="51"/>
      <c r="R116" s="54">
        <v>45092.0</v>
      </c>
      <c r="S116" s="48"/>
      <c r="T116" s="46"/>
      <c r="U116" s="46"/>
      <c r="V116" s="46"/>
      <c r="W116" s="46"/>
      <c r="X116" s="46"/>
      <c r="Y116" s="46"/>
      <c r="Z116" s="46"/>
      <c r="AA116" s="46"/>
      <c r="AB116" s="46"/>
    </row>
    <row r="117" ht="48.0" customHeight="1">
      <c r="A117" s="49" t="s">
        <v>2113</v>
      </c>
      <c r="B117" s="47" t="s">
        <v>1865</v>
      </c>
      <c r="C117" s="47" t="s">
        <v>2060</v>
      </c>
      <c r="D117" s="48" t="s">
        <v>726</v>
      </c>
      <c r="E117" s="48" t="s">
        <v>726</v>
      </c>
      <c r="F117" s="48" t="str">
        <f>IFERROR(__xludf.DUMMYFUNCTION("IF(D117="""","""",IFERROR(TRIM(REGEXEXTRACT(D117, ""^(.*?)(?:,| - )"")), D117))"),"HR Steel Flat 3/16 x 1-1/2")</f>
        <v>HR Steel Flat 3/16 x 1-1/2</v>
      </c>
      <c r="G117" s="48" t="str">
        <f>IFERROR(__xludf.DUMMYFUNCTION("IF(D117="""","""",IFERROR(TRIM(REGEXEXTRACT(D117, ""(?:,| - )(.*)$"")), """"))"),"")</f>
        <v/>
      </c>
      <c r="H117" s="48">
        <v>1.001915E7</v>
      </c>
      <c r="I117" s="48" t="s">
        <v>41</v>
      </c>
      <c r="J117" s="48" t="s">
        <v>2072</v>
      </c>
      <c r="K117" s="50">
        <v>1.15</v>
      </c>
      <c r="L117" s="51"/>
      <c r="M117" s="51"/>
      <c r="N117" s="51"/>
      <c r="O117" s="52" t="str">
        <f t="shared" si="3"/>
        <v/>
      </c>
      <c r="P117" s="53" t="str">
        <f t="shared" si="4"/>
        <v/>
      </c>
      <c r="Q117" s="51"/>
      <c r="R117" s="54">
        <v>45699.0</v>
      </c>
      <c r="S117" s="48"/>
      <c r="T117" s="46"/>
      <c r="U117" s="46"/>
      <c r="V117" s="46"/>
      <c r="W117" s="46"/>
      <c r="X117" s="46"/>
      <c r="Y117" s="46"/>
      <c r="Z117" s="46"/>
      <c r="AA117" s="46"/>
      <c r="AB117" s="46"/>
    </row>
    <row r="118" ht="48.0" customHeight="1">
      <c r="A118" s="49" t="s">
        <v>2114</v>
      </c>
      <c r="B118" s="47" t="s">
        <v>1865</v>
      </c>
      <c r="C118" s="47" t="s">
        <v>2060</v>
      </c>
      <c r="D118" s="48" t="s">
        <v>724</v>
      </c>
      <c r="E118" s="48" t="s">
        <v>724</v>
      </c>
      <c r="F118" s="48" t="str">
        <f>IFERROR(__xludf.DUMMYFUNCTION("IF(D118="""","""",IFERROR(TRIM(REGEXEXTRACT(D118, ""^(.*?)(?:,| - )"")), D118))"),"HR Steel Flat 3/16 x 2")</f>
        <v>HR Steel Flat 3/16 x 2</v>
      </c>
      <c r="G118" s="48" t="str">
        <f>IFERROR(__xludf.DUMMYFUNCTION("IF(D118="""","""",IFERROR(TRIM(REGEXEXTRACT(D118, ""(?:,| - )(.*)$"")), """"))"),"")</f>
        <v/>
      </c>
      <c r="H118" s="48">
        <v>1.00192E7</v>
      </c>
      <c r="I118" s="48" t="s">
        <v>41</v>
      </c>
      <c r="J118" s="48" t="s">
        <v>2072</v>
      </c>
      <c r="K118" s="50">
        <v>1.3</v>
      </c>
      <c r="L118" s="51"/>
      <c r="M118" s="51"/>
      <c r="N118" s="51"/>
      <c r="O118" s="52" t="str">
        <f t="shared" si="3"/>
        <v/>
      </c>
      <c r="P118" s="53" t="str">
        <f t="shared" si="4"/>
        <v/>
      </c>
      <c r="Q118" s="51"/>
      <c r="R118" s="54">
        <v>45699.0</v>
      </c>
      <c r="S118" s="48"/>
      <c r="T118" s="46"/>
      <c r="U118" s="46"/>
      <c r="V118" s="46"/>
      <c r="W118" s="46"/>
      <c r="X118" s="46"/>
      <c r="Y118" s="46"/>
      <c r="Z118" s="46"/>
      <c r="AA118" s="46"/>
      <c r="AB118" s="46"/>
    </row>
    <row r="119" ht="48.0" customHeight="1">
      <c r="A119" s="49" t="s">
        <v>2115</v>
      </c>
      <c r="B119" s="47" t="s">
        <v>1865</v>
      </c>
      <c r="C119" s="47" t="s">
        <v>2060</v>
      </c>
      <c r="D119" s="48" t="s">
        <v>642</v>
      </c>
      <c r="E119" s="48" t="s">
        <v>642</v>
      </c>
      <c r="F119" s="48" t="str">
        <f>IFERROR(__xludf.DUMMYFUNCTION("IF(D119="""","""",IFERROR(TRIM(REGEXEXTRACT(D119, ""^(.*?)(?:,| - )"")), D119))"),"HR Steel Flat 3/16 x 3")</f>
        <v>HR Steel Flat 3/16 x 3</v>
      </c>
      <c r="G119" s="48" t="str">
        <f>IFERROR(__xludf.DUMMYFUNCTION("IF(D119="""","""",IFERROR(TRIM(REGEXEXTRACT(D119, ""(?:,| - )(.*)$"")), """"))"),"")</f>
        <v/>
      </c>
      <c r="H119" s="48">
        <v>1.00193E7</v>
      </c>
      <c r="I119" s="48" t="s">
        <v>41</v>
      </c>
      <c r="J119" s="48" t="s">
        <v>2072</v>
      </c>
      <c r="K119" s="50">
        <v>1.78</v>
      </c>
      <c r="L119" s="51"/>
      <c r="M119" s="51"/>
      <c r="N119" s="51"/>
      <c r="O119" s="52" t="str">
        <f t="shared" si="3"/>
        <v/>
      </c>
      <c r="P119" s="53" t="str">
        <f t="shared" si="4"/>
        <v/>
      </c>
      <c r="Q119" s="51"/>
      <c r="R119" s="54">
        <v>45699.0</v>
      </c>
      <c r="S119" s="48"/>
      <c r="T119" s="27"/>
      <c r="U119" s="27"/>
      <c r="V119" s="27"/>
      <c r="W119" s="27"/>
      <c r="X119" s="27"/>
      <c r="Y119" s="27"/>
      <c r="Z119" s="27"/>
      <c r="AA119" s="27"/>
      <c r="AB119" s="27"/>
    </row>
    <row r="120" ht="48.0" customHeight="1">
      <c r="A120" s="49" t="s">
        <v>2116</v>
      </c>
      <c r="B120" s="47" t="s">
        <v>1865</v>
      </c>
      <c r="C120" s="47" t="s">
        <v>2060</v>
      </c>
      <c r="D120" s="48" t="s">
        <v>745</v>
      </c>
      <c r="E120" s="48" t="s">
        <v>745</v>
      </c>
      <c r="F120" s="48" t="str">
        <f>IFERROR(__xludf.DUMMYFUNCTION("IF(D120="""","""",IFERROR(TRIM(REGEXEXTRACT(D120, ""^(.*?)(?:,| - )"")), D120))"),"HR Steel Round 3/4 Rd")</f>
        <v>HR Steel Round 3/4 Rd</v>
      </c>
      <c r="G120" s="48" t="str">
        <f>IFERROR(__xludf.DUMMYFUNCTION("IF(D120="""","""",IFERROR(TRIM(REGEXEXTRACT(D120, ""(?:,| - )(.*)$"")), """"))"),"")</f>
        <v/>
      </c>
      <c r="H120" s="48" t="s">
        <v>746</v>
      </c>
      <c r="I120" s="48" t="s">
        <v>41</v>
      </c>
      <c r="J120" s="48" t="s">
        <v>239</v>
      </c>
      <c r="K120" s="50">
        <v>17.46</v>
      </c>
      <c r="L120" s="51"/>
      <c r="M120" s="51"/>
      <c r="N120" s="51"/>
      <c r="O120" s="52" t="str">
        <f t="shared" si="3"/>
        <v/>
      </c>
      <c r="P120" s="53" t="str">
        <f t="shared" si="4"/>
        <v/>
      </c>
      <c r="Q120" s="51"/>
      <c r="R120" s="54">
        <v>45701.0</v>
      </c>
      <c r="S120" s="48"/>
      <c r="T120" s="27"/>
      <c r="U120" s="27"/>
      <c r="V120" s="27"/>
      <c r="W120" s="27"/>
      <c r="X120" s="27"/>
      <c r="Y120" s="27"/>
      <c r="Z120" s="27"/>
      <c r="AA120" s="27"/>
      <c r="AB120" s="27"/>
    </row>
    <row r="121" ht="48.0" customHeight="1">
      <c r="A121" s="49" t="s">
        <v>2117</v>
      </c>
      <c r="B121" s="47" t="s">
        <v>1865</v>
      </c>
      <c r="C121" s="47" t="s">
        <v>2060</v>
      </c>
      <c r="D121" s="48" t="s">
        <v>633</v>
      </c>
      <c r="E121" s="48" t="s">
        <v>633</v>
      </c>
      <c r="F121" s="48" t="str">
        <f>IFERROR(__xludf.DUMMYFUNCTION("IF(D121="""","""",IFERROR(TRIM(REGEXEXTRACT(D121, ""^(.*?)(?:,| - )"")), D121))"),"HR Steel Sheet 11 Ga")</f>
        <v>HR Steel Sheet 11 Ga</v>
      </c>
      <c r="G121" s="48" t="str">
        <f>IFERROR(__xludf.DUMMYFUNCTION("IF(D121="""","""",IFERROR(TRIM(REGEXEXTRACT(D121, ""(?:,| - )(.*)$"")), """"))"),"")</f>
        <v/>
      </c>
      <c r="H121" s="48" t="s">
        <v>742</v>
      </c>
      <c r="I121" s="48" t="s">
        <v>41</v>
      </c>
      <c r="J121" s="48" t="s">
        <v>2109</v>
      </c>
      <c r="K121" s="50">
        <v>1.14</v>
      </c>
      <c r="L121" s="51"/>
      <c r="M121" s="51"/>
      <c r="N121" s="51"/>
      <c r="O121" s="52" t="str">
        <f t="shared" si="3"/>
        <v/>
      </c>
      <c r="P121" s="53" t="str">
        <f t="shared" si="4"/>
        <v/>
      </c>
      <c r="Q121" s="51"/>
      <c r="R121" s="54">
        <v>45701.0</v>
      </c>
      <c r="S121" s="48" t="s">
        <v>2110</v>
      </c>
      <c r="T121" s="27"/>
      <c r="U121" s="27"/>
      <c r="V121" s="27"/>
      <c r="W121" s="27"/>
      <c r="X121" s="27"/>
      <c r="Y121" s="27"/>
      <c r="Z121" s="27"/>
      <c r="AA121" s="27"/>
      <c r="AB121" s="27"/>
    </row>
    <row r="122" ht="48.0" customHeight="1">
      <c r="A122" s="49" t="s">
        <v>2118</v>
      </c>
      <c r="B122" s="47" t="s">
        <v>1865</v>
      </c>
      <c r="C122" s="47" t="s">
        <v>2060</v>
      </c>
      <c r="D122" s="48" t="s">
        <v>679</v>
      </c>
      <c r="E122" s="48" t="s">
        <v>679</v>
      </c>
      <c r="F122" s="48" t="str">
        <f>IFERROR(__xludf.DUMMYFUNCTION("IF(D122="""","""",IFERROR(TRIM(REGEXEXTRACT(D122, ""^(.*?)(?:,| - )"")), D122))"),"Steel Tube Rect 1 x 2 x 16 ga")</f>
        <v>Steel Tube Rect 1 x 2 x 16 ga</v>
      </c>
      <c r="G122" s="48" t="str">
        <f>IFERROR(__xludf.DUMMYFUNCTION("IF(D122="""","""",IFERROR(TRIM(REGEXEXTRACT(D122, ""(?:,| - )(.*)$"")), """"))"),"")</f>
        <v/>
      </c>
      <c r="H122" s="48" t="s">
        <v>740</v>
      </c>
      <c r="I122" s="48" t="s">
        <v>41</v>
      </c>
      <c r="J122" s="48" t="s">
        <v>2072</v>
      </c>
      <c r="K122" s="50">
        <v>1.36</v>
      </c>
      <c r="L122" s="51"/>
      <c r="M122" s="51"/>
      <c r="N122" s="51"/>
      <c r="O122" s="52" t="str">
        <f t="shared" si="3"/>
        <v/>
      </c>
      <c r="P122" s="53" t="str">
        <f t="shared" si="4"/>
        <v/>
      </c>
      <c r="Q122" s="51"/>
      <c r="R122" s="54">
        <v>45701.0</v>
      </c>
      <c r="S122" s="48"/>
      <c r="T122" s="27"/>
      <c r="U122" s="27"/>
      <c r="V122" s="27"/>
      <c r="W122" s="27"/>
      <c r="X122" s="27"/>
      <c r="Y122" s="27"/>
      <c r="Z122" s="27"/>
      <c r="AA122" s="27"/>
      <c r="AB122" s="27"/>
    </row>
    <row r="123" ht="48.0" customHeight="1">
      <c r="A123" s="49" t="s">
        <v>2119</v>
      </c>
      <c r="B123" s="47" t="s">
        <v>1865</v>
      </c>
      <c r="C123" s="47" t="s">
        <v>2060</v>
      </c>
      <c r="D123" s="48" t="s">
        <v>627</v>
      </c>
      <c r="E123" s="48" t="s">
        <v>627</v>
      </c>
      <c r="F123" s="48" t="str">
        <f>IFERROR(__xludf.DUMMYFUNCTION("IF(D123="""","""",IFERROR(TRIM(REGEXEXTRACT(D123, ""^(.*?)(?:,| - )"")), D123))"),"Steel Tube Rect 1/2 x 1-1/2 x 16 ga")</f>
        <v>Steel Tube Rect 1/2 x 1-1/2 x 16 ga</v>
      </c>
      <c r="G123" s="48" t="str">
        <f>IFERROR(__xludf.DUMMYFUNCTION("IF(D123="""","""",IFERROR(TRIM(REGEXEXTRACT(D123, ""(?:,| - )(.*)$"")), """"))"),"")</f>
        <v/>
      </c>
      <c r="H123" s="48" t="s">
        <v>628</v>
      </c>
      <c r="I123" s="48" t="s">
        <v>41</v>
      </c>
      <c r="J123" s="48" t="s">
        <v>2072</v>
      </c>
      <c r="K123" s="50">
        <v>0.91</v>
      </c>
      <c r="L123" s="51"/>
      <c r="M123" s="51"/>
      <c r="N123" s="51"/>
      <c r="O123" s="52" t="str">
        <f t="shared" si="3"/>
        <v/>
      </c>
      <c r="P123" s="53" t="str">
        <f t="shared" si="4"/>
        <v/>
      </c>
      <c r="Q123" s="51"/>
      <c r="R123" s="54">
        <v>45663.0</v>
      </c>
      <c r="S123" s="48"/>
      <c r="T123" s="27"/>
      <c r="U123" s="27"/>
      <c r="V123" s="27"/>
      <c r="W123" s="27"/>
      <c r="X123" s="27"/>
      <c r="Y123" s="27"/>
      <c r="Z123" s="27"/>
      <c r="AA123" s="27"/>
      <c r="AB123" s="27"/>
    </row>
    <row r="124" ht="48.0" customHeight="1">
      <c r="A124" s="49" t="s">
        <v>2120</v>
      </c>
      <c r="B124" s="47" t="s">
        <v>1865</v>
      </c>
      <c r="C124" s="47" t="s">
        <v>2060</v>
      </c>
      <c r="D124" s="48" t="s">
        <v>402</v>
      </c>
      <c r="E124" s="48" t="s">
        <v>402</v>
      </c>
      <c r="F124" s="48" t="str">
        <f>IFERROR(__xludf.DUMMYFUNCTION("IF(D124="""","""",IFERROR(TRIM(REGEXEXTRACT(D124, ""^(.*?)(?:,| - )"")), D124))"),"Steel Tube Rect 3/4 x 1-1/2 x 16 ga")</f>
        <v>Steel Tube Rect 3/4 x 1-1/2 x 16 ga</v>
      </c>
      <c r="G124" s="48" t="str">
        <f>IFERROR(__xludf.DUMMYFUNCTION("IF(D124="""","""",IFERROR(TRIM(REGEXEXTRACT(D124, ""(?:,| - )(.*)$"")), """"))"),"")</f>
        <v/>
      </c>
      <c r="H124" s="48" t="s">
        <v>619</v>
      </c>
      <c r="I124" s="48" t="s">
        <v>41</v>
      </c>
      <c r="J124" s="48" t="s">
        <v>2072</v>
      </c>
      <c r="K124" s="50">
        <v>1.03</v>
      </c>
      <c r="L124" s="51"/>
      <c r="M124" s="51"/>
      <c r="N124" s="51"/>
      <c r="O124" s="52" t="str">
        <f t="shared" si="3"/>
        <v/>
      </c>
      <c r="P124" s="53" t="str">
        <f t="shared" si="4"/>
        <v/>
      </c>
      <c r="Q124" s="51"/>
      <c r="R124" s="54">
        <v>45701.0</v>
      </c>
      <c r="S124" s="48"/>
      <c r="T124" s="27"/>
      <c r="U124" s="27"/>
      <c r="V124" s="27"/>
      <c r="W124" s="27"/>
      <c r="X124" s="27"/>
      <c r="Y124" s="27"/>
      <c r="Z124" s="27"/>
      <c r="AA124" s="27"/>
      <c r="AB124" s="27"/>
    </row>
    <row r="125" ht="48.0" customHeight="1">
      <c r="A125" s="49" t="s">
        <v>2121</v>
      </c>
      <c r="B125" s="47" t="s">
        <v>1865</v>
      </c>
      <c r="C125" s="47" t="s">
        <v>2060</v>
      </c>
      <c r="D125" s="48" t="s">
        <v>728</v>
      </c>
      <c r="E125" s="48" t="s">
        <v>728</v>
      </c>
      <c r="F125" s="48" t="str">
        <f>IFERROR(__xludf.DUMMYFUNCTION("IF(D125="""","""",IFERROR(TRIM(REGEXEXTRACT(D125, ""^(.*?)(?:,| - )"")), D125))"),"Steel Tube Sq 1-1/4 x 1-1/4 x 16 ga")</f>
        <v>Steel Tube Sq 1-1/4 x 1-1/4 x 16 ga</v>
      </c>
      <c r="G125" s="48" t="str">
        <f>IFERROR(__xludf.DUMMYFUNCTION("IF(D125="""","""",IFERROR(TRIM(REGEXEXTRACT(D125, ""(?:,| - )(.*)$"")), """"))"),"")</f>
        <v/>
      </c>
      <c r="H125" s="48" t="s">
        <v>729</v>
      </c>
      <c r="I125" s="48" t="s">
        <v>41</v>
      </c>
      <c r="J125" s="48" t="s">
        <v>2072</v>
      </c>
      <c r="K125" s="50">
        <v>1.4</v>
      </c>
      <c r="L125" s="51"/>
      <c r="M125" s="51"/>
      <c r="N125" s="51"/>
      <c r="O125" s="52" t="str">
        <f t="shared" si="3"/>
        <v/>
      </c>
      <c r="P125" s="53" t="str">
        <f t="shared" si="4"/>
        <v/>
      </c>
      <c r="Q125" s="51"/>
      <c r="R125" s="54">
        <v>45699.0</v>
      </c>
      <c r="S125" s="48"/>
      <c r="T125" s="27"/>
      <c r="U125" s="27"/>
      <c r="V125" s="27"/>
      <c r="W125" s="27"/>
      <c r="X125" s="27"/>
      <c r="Y125" s="27"/>
      <c r="Z125" s="27"/>
      <c r="AA125" s="27"/>
      <c r="AB125" s="27"/>
    </row>
    <row r="126" ht="48.0" customHeight="1">
      <c r="A126" s="49" t="s">
        <v>2122</v>
      </c>
      <c r="B126" s="47" t="s">
        <v>1865</v>
      </c>
      <c r="C126" s="47" t="s">
        <v>2060</v>
      </c>
      <c r="D126" s="48" t="s">
        <v>638</v>
      </c>
      <c r="E126" s="48" t="s">
        <v>638</v>
      </c>
      <c r="F126" s="48" t="str">
        <f>IFERROR(__xludf.DUMMYFUNCTION("IF(D126="""","""",IFERROR(TRIM(REGEXEXTRACT(D126, ""^(.*?)(?:,| - )"")), D126))"),"Steel Tube Sq 2 x 2 x .120")</f>
        <v>Steel Tube Sq 2 x 2 x .120</v>
      </c>
      <c r="G126" s="48" t="str">
        <f>IFERROR(__xludf.DUMMYFUNCTION("IF(D126="""","""",IFERROR(TRIM(REGEXEXTRACT(D126, ""(?:,| - )(.*)$"")), """"))"),"")</f>
        <v/>
      </c>
      <c r="H126" s="48" t="s">
        <v>741</v>
      </c>
      <c r="I126" s="48" t="s">
        <v>41</v>
      </c>
      <c r="J126" s="48" t="s">
        <v>2072</v>
      </c>
      <c r="K126" s="50">
        <v>3.29</v>
      </c>
      <c r="L126" s="51"/>
      <c r="M126" s="51"/>
      <c r="N126" s="51"/>
      <c r="O126" s="52" t="str">
        <f t="shared" si="3"/>
        <v/>
      </c>
      <c r="P126" s="53" t="str">
        <f t="shared" si="4"/>
        <v/>
      </c>
      <c r="Q126" s="51"/>
      <c r="R126" s="54">
        <v>45701.0</v>
      </c>
      <c r="S126" s="48"/>
      <c r="T126" s="27"/>
      <c r="U126" s="27"/>
      <c r="V126" s="27"/>
      <c r="W126" s="27"/>
      <c r="X126" s="27"/>
      <c r="Y126" s="27"/>
      <c r="Z126" s="27"/>
      <c r="AA126" s="27"/>
      <c r="AB126" s="27"/>
    </row>
    <row r="127" ht="48.0" customHeight="1">
      <c r="A127" s="49" t="s">
        <v>2123</v>
      </c>
      <c r="B127" s="47" t="s">
        <v>1865</v>
      </c>
      <c r="C127" s="47" t="s">
        <v>2060</v>
      </c>
      <c r="D127" s="48" t="s">
        <v>597</v>
      </c>
      <c r="E127" s="48" t="s">
        <v>597</v>
      </c>
      <c r="F127" s="48" t="str">
        <f>IFERROR(__xludf.DUMMYFUNCTION("IF(D127="""","""",IFERROR(TRIM(REGEXEXTRACT(D127, ""^(.*?)(?:,| - )"")), D127))"),"Steel Tube Sq 2 x 2 x 16 ga")</f>
        <v>Steel Tube Sq 2 x 2 x 16 ga</v>
      </c>
      <c r="G127" s="48" t="str">
        <f>IFERROR(__xludf.DUMMYFUNCTION("IF(D127="""","""",IFERROR(TRIM(REGEXEXTRACT(D127, ""(?:,| - )(.*)$"")), """"))"),"")</f>
        <v/>
      </c>
      <c r="H127" s="48" t="s">
        <v>614</v>
      </c>
      <c r="I127" s="48" t="s">
        <v>41</v>
      </c>
      <c r="J127" s="48" t="s">
        <v>2072</v>
      </c>
      <c r="K127" s="50">
        <v>1.77</v>
      </c>
      <c r="L127" s="51"/>
      <c r="M127" s="51"/>
      <c r="N127" s="51"/>
      <c r="O127" s="52" t="str">
        <f t="shared" si="3"/>
        <v/>
      </c>
      <c r="P127" s="53" t="str">
        <f t="shared" si="4"/>
        <v/>
      </c>
      <c r="Q127" s="51"/>
      <c r="R127" s="54">
        <v>45663.0</v>
      </c>
      <c r="S127" s="48"/>
      <c r="T127" s="27"/>
      <c r="U127" s="27"/>
      <c r="V127" s="27"/>
      <c r="W127" s="27"/>
      <c r="X127" s="27"/>
      <c r="Y127" s="27"/>
      <c r="Z127" s="27"/>
      <c r="AA127" s="27"/>
      <c r="AB127" s="27"/>
    </row>
    <row r="128" ht="48.0" customHeight="1">
      <c r="A128" s="49" t="s">
        <v>2124</v>
      </c>
      <c r="B128" s="47" t="s">
        <v>1865</v>
      </c>
      <c r="C128" s="47" t="s">
        <v>2060</v>
      </c>
      <c r="D128" s="48" t="s">
        <v>621</v>
      </c>
      <c r="E128" s="48" t="s">
        <v>621</v>
      </c>
      <c r="F128" s="48" t="str">
        <f>IFERROR(__xludf.DUMMYFUNCTION("IF(D128="""","""",IFERROR(TRIM(REGEXEXTRACT(D128, ""^(.*?)(?:,| - )"")), D128))"),"Steel Tube Sq 3 x 3 x 16 ga")</f>
        <v>Steel Tube Sq 3 x 3 x 16 ga</v>
      </c>
      <c r="G128" s="48" t="str">
        <f>IFERROR(__xludf.DUMMYFUNCTION("IF(D128="""","""",IFERROR(TRIM(REGEXEXTRACT(D128, ""(?:,| - )(.*)$"")), """"))"),"")</f>
        <v/>
      </c>
      <c r="H128" s="48" t="s">
        <v>623</v>
      </c>
      <c r="I128" s="48" t="s">
        <v>41</v>
      </c>
      <c r="J128" s="48" t="s">
        <v>2072</v>
      </c>
      <c r="K128" s="50">
        <v>2.71</v>
      </c>
      <c r="L128" s="51"/>
      <c r="M128" s="51"/>
      <c r="N128" s="51"/>
      <c r="O128" s="52" t="str">
        <f t="shared" si="3"/>
        <v/>
      </c>
      <c r="P128" s="53" t="str">
        <f t="shared" si="4"/>
        <v/>
      </c>
      <c r="Q128" s="51"/>
      <c r="R128" s="54">
        <v>45663.0</v>
      </c>
      <c r="S128" s="48"/>
      <c r="T128" s="27"/>
      <c r="U128" s="27"/>
      <c r="V128" s="27"/>
      <c r="W128" s="27"/>
      <c r="X128" s="27"/>
      <c r="Y128" s="27"/>
      <c r="Z128" s="27"/>
      <c r="AA128" s="27"/>
      <c r="AB128" s="27"/>
    </row>
    <row r="129" ht="48.0" hidden="1" customHeight="1">
      <c r="A129" s="49" t="s">
        <v>2125</v>
      </c>
      <c r="B129" s="47" t="s">
        <v>2077</v>
      </c>
      <c r="C129" s="47" t="s">
        <v>2077</v>
      </c>
      <c r="D129" s="48" t="s">
        <v>2126</v>
      </c>
      <c r="E129" s="49" t="s">
        <v>2127</v>
      </c>
      <c r="F129" s="48" t="str">
        <f>IFERROR(__xludf.DUMMYFUNCTION("IF(D129="""","""",IFERROR(TRIM(REGEXEXTRACT(D129, ""^(.*?)(?:,| - )"")), D129))"),"Touch-up aerosol spray")</f>
        <v>Touch-up aerosol spray</v>
      </c>
      <c r="G129" s="48" t="str">
        <f>IFERROR(__xludf.DUMMYFUNCTION("IF(D129="""","""",IFERROR(TRIM(REGEXEXTRACT(D129, ""(?:,| - )(.*)$"")), """"))"),"Black Texture")</f>
        <v>Black Texture</v>
      </c>
      <c r="H129" s="48" t="s">
        <v>2128</v>
      </c>
      <c r="I129" s="48" t="s">
        <v>71</v>
      </c>
      <c r="J129" s="48" t="s">
        <v>2129</v>
      </c>
      <c r="K129" s="50"/>
      <c r="L129" s="51"/>
      <c r="M129" s="51"/>
      <c r="N129" s="51"/>
      <c r="O129" s="52" t="str">
        <f t="shared" si="3"/>
        <v/>
      </c>
      <c r="P129" s="53" t="str">
        <f t="shared" si="4"/>
        <v/>
      </c>
      <c r="Q129" s="51"/>
      <c r="R129" s="54"/>
      <c r="S129" s="48" t="s">
        <v>2082</v>
      </c>
      <c r="T129" s="27"/>
      <c r="U129" s="27"/>
      <c r="V129" s="27"/>
      <c r="W129" s="27"/>
      <c r="X129" s="27"/>
      <c r="Y129" s="27"/>
      <c r="Z129" s="27"/>
      <c r="AA129" s="27"/>
      <c r="AB129" s="27"/>
    </row>
    <row r="130" ht="48.0" hidden="1" customHeight="1">
      <c r="A130" s="49" t="s">
        <v>2130</v>
      </c>
      <c r="B130" s="47" t="s">
        <v>2077</v>
      </c>
      <c r="C130" s="47" t="s">
        <v>2077</v>
      </c>
      <c r="D130" s="48" t="s">
        <v>2131</v>
      </c>
      <c r="E130" s="49" t="s">
        <v>2132</v>
      </c>
      <c r="F130" s="48" t="str">
        <f>IFERROR(__xludf.DUMMYFUNCTION("IF(D130="""","""",IFERROR(TRIM(REGEXEXTRACT(D130, ""^(.*?)(?:,| - )"")), D130))"),"Touch-up bottle (brush applicator)")</f>
        <v>Touch-up bottle (brush applicator)</v>
      </c>
      <c r="G130" s="48" t="str">
        <f>IFERROR(__xludf.DUMMYFUNCTION("IF(D130="""","""",IFERROR(TRIM(REGEXEXTRACT(D130, ""(?:,| - )(.*)$"")), """"))"),"Deck Clay TUB")</f>
        <v>Deck Clay TUB</v>
      </c>
      <c r="H130" s="48"/>
      <c r="I130" s="48" t="s">
        <v>71</v>
      </c>
      <c r="J130" s="48" t="s">
        <v>2081</v>
      </c>
      <c r="K130" s="50"/>
      <c r="L130" s="51"/>
      <c r="M130" s="51"/>
      <c r="N130" s="51"/>
      <c r="O130" s="52" t="str">
        <f t="shared" si="3"/>
        <v/>
      </c>
      <c r="P130" s="53" t="str">
        <f t="shared" si="4"/>
        <v/>
      </c>
      <c r="Q130" s="51"/>
      <c r="R130" s="54"/>
      <c r="S130" s="48" t="s">
        <v>2133</v>
      </c>
      <c r="T130" s="27"/>
      <c r="U130" s="27"/>
      <c r="V130" s="27"/>
      <c r="W130" s="27"/>
      <c r="X130" s="27"/>
      <c r="Y130" s="27"/>
      <c r="Z130" s="27"/>
      <c r="AA130" s="27"/>
      <c r="AB130" s="27"/>
    </row>
    <row r="131" ht="48.0" hidden="1" customHeight="1">
      <c r="A131" s="49" t="s">
        <v>2134</v>
      </c>
      <c r="B131" s="47" t="s">
        <v>2077</v>
      </c>
      <c r="C131" s="47" t="s">
        <v>2077</v>
      </c>
      <c r="D131" s="48" t="s">
        <v>2135</v>
      </c>
      <c r="E131" s="49" t="s">
        <v>2136</v>
      </c>
      <c r="F131" s="48" t="str">
        <f>IFERROR(__xludf.DUMMYFUNCTION("IF(D131="""","""",IFERROR(TRIM(REGEXEXTRACT(D131, ""^(.*?)(?:,| - )"")), D131))"),"Touch-up aerosol spray")</f>
        <v>Touch-up aerosol spray</v>
      </c>
      <c r="G131" s="48" t="str">
        <f>IFERROR(__xludf.DUMMYFUNCTION("IF(D131="""","""",IFERROR(TRIM(REGEXEXTRACT(D131, ""(?:,| - )(.*)$"")), """"))"),"Deck Clay")</f>
        <v>Deck Clay</v>
      </c>
      <c r="H131" s="48" t="s">
        <v>2137</v>
      </c>
      <c r="I131" s="48" t="s">
        <v>71</v>
      </c>
      <c r="J131" s="48" t="s">
        <v>2129</v>
      </c>
      <c r="K131" s="50"/>
      <c r="L131" s="51"/>
      <c r="M131" s="51"/>
      <c r="N131" s="51"/>
      <c r="O131" s="52" t="str">
        <f t="shared" si="3"/>
        <v/>
      </c>
      <c r="P131" s="53" t="str">
        <f t="shared" si="4"/>
        <v/>
      </c>
      <c r="Q131" s="51"/>
      <c r="R131" s="54"/>
      <c r="S131" s="48" t="s">
        <v>2138</v>
      </c>
      <c r="T131" s="27"/>
      <c r="U131" s="27"/>
      <c r="V131" s="27"/>
      <c r="W131" s="27"/>
      <c r="X131" s="27"/>
      <c r="Y131" s="27"/>
      <c r="Z131" s="27"/>
      <c r="AA131" s="27"/>
      <c r="AB131" s="27"/>
    </row>
    <row r="132" ht="48.0" hidden="1" customHeight="1">
      <c r="A132" s="49" t="s">
        <v>2139</v>
      </c>
      <c r="B132" s="47" t="s">
        <v>2077</v>
      </c>
      <c r="C132" s="47" t="s">
        <v>2077</v>
      </c>
      <c r="D132" s="48" t="s">
        <v>2140</v>
      </c>
      <c r="E132" s="49" t="s">
        <v>2141</v>
      </c>
      <c r="F132" s="48" t="str">
        <f>IFERROR(__xludf.DUMMYFUNCTION("IF(D132="""","""",IFERROR(TRIM(REGEXEXTRACT(D132, ""^(.*?)(?:,| - )"")), D132))"),"Touch-up bottle (brush applicator)")</f>
        <v>Touch-up bottle (brush applicator)</v>
      </c>
      <c r="G132" s="48" t="str">
        <f>IFERROR(__xludf.DUMMYFUNCTION("IF(D132="""","""",IFERROR(TRIM(REGEXEXTRACT(D132, ""(?:,| - )(.*)$"")), """"))"),"Oil Rub Bronze TUB")</f>
        <v>Oil Rub Bronze TUB</v>
      </c>
      <c r="H132" s="48" t="s">
        <v>2142</v>
      </c>
      <c r="I132" s="48" t="s">
        <v>71</v>
      </c>
      <c r="J132" s="48" t="s">
        <v>2081</v>
      </c>
      <c r="K132" s="50"/>
      <c r="L132" s="51"/>
      <c r="M132" s="51"/>
      <c r="N132" s="51"/>
      <c r="O132" s="52" t="str">
        <f t="shared" si="3"/>
        <v/>
      </c>
      <c r="P132" s="53" t="str">
        <f t="shared" si="4"/>
        <v/>
      </c>
      <c r="Q132" s="51"/>
      <c r="R132" s="54"/>
      <c r="S132" s="48" t="s">
        <v>2143</v>
      </c>
      <c r="T132" s="27"/>
      <c r="U132" s="27"/>
      <c r="V132" s="27"/>
      <c r="W132" s="27"/>
      <c r="X132" s="27"/>
      <c r="Y132" s="27"/>
      <c r="Z132" s="27"/>
      <c r="AA132" s="27"/>
      <c r="AB132" s="27"/>
    </row>
    <row r="133" ht="48.0" hidden="1" customHeight="1">
      <c r="A133" s="49" t="s">
        <v>2144</v>
      </c>
      <c r="B133" s="47" t="s">
        <v>2077</v>
      </c>
      <c r="C133" s="47" t="s">
        <v>2077</v>
      </c>
      <c r="D133" s="48" t="s">
        <v>2145</v>
      </c>
      <c r="E133" s="49" t="s">
        <v>2146</v>
      </c>
      <c r="F133" s="48" t="str">
        <f>IFERROR(__xludf.DUMMYFUNCTION("IF(D133="""","""",IFERROR(TRIM(REGEXEXTRACT(D133, ""^(.*?)(?:,| - )"")), D133))"),"Touch-up aerosol spray")</f>
        <v>Touch-up aerosol spray</v>
      </c>
      <c r="G133" s="48" t="str">
        <f>IFERROR(__xludf.DUMMYFUNCTION("IF(D133="""","""",IFERROR(TRIM(REGEXEXTRACT(D133, ""(?:,| - )(.*)$"")), """"))"),"Oil Rub Bronze")</f>
        <v>Oil Rub Bronze</v>
      </c>
      <c r="H133" s="48" t="s">
        <v>2147</v>
      </c>
      <c r="I133" s="48" t="s">
        <v>71</v>
      </c>
      <c r="J133" s="48" t="s">
        <v>2129</v>
      </c>
      <c r="K133" s="50"/>
      <c r="L133" s="51"/>
      <c r="M133" s="51"/>
      <c r="N133" s="51"/>
      <c r="O133" s="52" t="str">
        <f t="shared" si="3"/>
        <v/>
      </c>
      <c r="P133" s="53" t="str">
        <f t="shared" si="4"/>
        <v/>
      </c>
      <c r="Q133" s="51"/>
      <c r="R133" s="54"/>
      <c r="S133" s="48" t="s">
        <v>2143</v>
      </c>
      <c r="T133" s="27"/>
      <c r="U133" s="27"/>
      <c r="V133" s="27"/>
      <c r="W133" s="27"/>
      <c r="X133" s="27"/>
      <c r="Y133" s="27"/>
      <c r="Z133" s="27"/>
      <c r="AA133" s="27"/>
      <c r="AB133" s="27"/>
    </row>
    <row r="134" ht="48.0" hidden="1" customHeight="1">
      <c r="A134" s="49" t="s">
        <v>2148</v>
      </c>
      <c r="B134" s="47" t="s">
        <v>2077</v>
      </c>
      <c r="C134" s="47" t="s">
        <v>2077</v>
      </c>
      <c r="D134" s="48" t="s">
        <v>2149</v>
      </c>
      <c r="E134" s="49" t="s">
        <v>2150</v>
      </c>
      <c r="F134" s="48" t="str">
        <f>IFERROR(__xludf.DUMMYFUNCTION("IF(D134="""","""",IFERROR(TRIM(REGEXEXTRACT(D134, ""^(.*?)(?:,| - )"")), D134))"),"Work gloves")</f>
        <v>Work gloves</v>
      </c>
      <c r="G134" s="48" t="str">
        <f>IFERROR(__xludf.DUMMYFUNCTION("IF(D134="""","""",IFERROR(TRIM(REGEXEXTRACT(D134, ""(?:,| - )(.*)$"")), """"))"),"PU-coated palm, touchscreen, gray, size LARGE (12-pair pack)")</f>
        <v>PU-coated palm, touchscreen, gray, size LARGE (12-pair pack)</v>
      </c>
      <c r="H134" s="48" t="s">
        <v>2151</v>
      </c>
      <c r="I134" s="48" t="s">
        <v>157</v>
      </c>
      <c r="J134" s="48" t="s">
        <v>434</v>
      </c>
      <c r="K134" s="50">
        <v>17.45</v>
      </c>
      <c r="L134" s="51"/>
      <c r="M134" s="51">
        <v>0.0</v>
      </c>
      <c r="N134" s="51">
        <v>2.0</v>
      </c>
      <c r="O134" s="52" t="str">
        <f t="shared" si="3"/>
        <v/>
      </c>
      <c r="P134" s="53" t="str">
        <f t="shared" si="4"/>
        <v/>
      </c>
      <c r="Q134" s="51"/>
      <c r="R134" s="54">
        <v>45994.0</v>
      </c>
      <c r="S134" s="48" t="s">
        <v>2152</v>
      </c>
      <c r="T134" s="27"/>
      <c r="U134" s="27"/>
      <c r="V134" s="27"/>
      <c r="W134" s="27"/>
      <c r="X134" s="27"/>
      <c r="Y134" s="27"/>
      <c r="Z134" s="27"/>
      <c r="AA134" s="27"/>
      <c r="AB134" s="27"/>
    </row>
    <row r="135" ht="48.0" hidden="1" customHeight="1">
      <c r="A135" s="49" t="s">
        <v>2153</v>
      </c>
      <c r="B135" s="47" t="s">
        <v>2077</v>
      </c>
      <c r="C135" s="47" t="s">
        <v>2077</v>
      </c>
      <c r="D135" s="48" t="s">
        <v>464</v>
      </c>
      <c r="E135" s="49" t="s">
        <v>2154</v>
      </c>
      <c r="F135" s="48" t="str">
        <f>IFERROR(__xludf.DUMMYFUNCTION("IF(D135="""","""",IFERROR(TRIM(REGEXEXTRACT(D135, ""^(.*?)(?:,| - )"")), D135))"),"Felt pads")</f>
        <v>Felt pads</v>
      </c>
      <c r="G135" s="48" t="str">
        <f>IFERROR(__xludf.DUMMYFUNCTION("IF(D135="""","""",IFERROR(TRIM(REGEXEXTRACT(D135, ""(?:,| - )(.*)$"")), """"))"),"1"" round, oatmeal, self-adhesive heavy duty (160-pc)")</f>
        <v>1" round, oatmeal, self-adhesive heavy duty (160-pc)</v>
      </c>
      <c r="H135" s="48" t="s">
        <v>2155</v>
      </c>
      <c r="I135" s="48" t="s">
        <v>157</v>
      </c>
      <c r="J135" s="48" t="s">
        <v>466</v>
      </c>
      <c r="K135" s="50">
        <v>14.2</v>
      </c>
      <c r="L135" s="51"/>
      <c r="M135" s="51">
        <v>1.0</v>
      </c>
      <c r="N135" s="51">
        <v>2.0</v>
      </c>
      <c r="O135" s="52" t="str">
        <f t="shared" si="3"/>
        <v/>
      </c>
      <c r="P135" s="53" t="str">
        <f t="shared" si="4"/>
        <v/>
      </c>
      <c r="Q135" s="51"/>
      <c r="R135" s="54"/>
      <c r="S135" s="48" t="s">
        <v>2156</v>
      </c>
      <c r="T135" s="27"/>
      <c r="U135" s="27"/>
      <c r="V135" s="27"/>
      <c r="W135" s="27"/>
      <c r="X135" s="27"/>
      <c r="Y135" s="27"/>
      <c r="Z135" s="27"/>
      <c r="AA135" s="27"/>
      <c r="AB135" s="27"/>
    </row>
    <row r="136" ht="48.0" hidden="1" customHeight="1">
      <c r="A136" s="49" t="s">
        <v>2157</v>
      </c>
      <c r="B136" s="47" t="s">
        <v>2077</v>
      </c>
      <c r="C136" s="47" t="s">
        <v>2077</v>
      </c>
      <c r="D136" s="48" t="s">
        <v>2158</v>
      </c>
      <c r="E136" s="49" t="s">
        <v>2159</v>
      </c>
      <c r="F136" s="48" t="str">
        <f>IFERROR(__xludf.DUMMYFUNCTION("IF(D136="""","""",IFERROR(TRIM(REGEXEXTRACT(D136, ""^(.*?)(?:,| - )"")), D136))"),"Touch-up bottle (brush applicator)")</f>
        <v>Touch-up bottle (brush applicator)</v>
      </c>
      <c r="G136" s="48" t="str">
        <f>IFERROR(__xludf.DUMMYFUNCTION("IF(D136="""","""",IFERROR(TRIM(REGEXEXTRACT(D136, ""(?:,| - )(.*)$"")), """"))"),"Fanuc Gray TUB")</f>
        <v>Fanuc Gray TUB</v>
      </c>
      <c r="H136" s="48" t="s">
        <v>2160</v>
      </c>
      <c r="I136" s="48" t="s">
        <v>71</v>
      </c>
      <c r="J136" s="48" t="s">
        <v>2081</v>
      </c>
      <c r="K136" s="50"/>
      <c r="L136" s="51"/>
      <c r="M136" s="51"/>
      <c r="N136" s="51"/>
      <c r="O136" s="52" t="str">
        <f t="shared" si="3"/>
        <v/>
      </c>
      <c r="P136" s="53" t="str">
        <f t="shared" si="4"/>
        <v/>
      </c>
      <c r="Q136" s="51"/>
      <c r="R136" s="54"/>
      <c r="S136" s="48" t="s">
        <v>2161</v>
      </c>
      <c r="T136" s="27"/>
      <c r="U136" s="27"/>
      <c r="V136" s="27"/>
      <c r="W136" s="27"/>
      <c r="X136" s="27"/>
      <c r="Y136" s="27"/>
      <c r="Z136" s="27"/>
      <c r="AA136" s="27"/>
      <c r="AB136" s="27"/>
    </row>
    <row r="137" ht="48.0" hidden="1" customHeight="1">
      <c r="A137" s="49" t="s">
        <v>2162</v>
      </c>
      <c r="B137" s="47" t="s">
        <v>2077</v>
      </c>
      <c r="C137" s="47" t="s">
        <v>2077</v>
      </c>
      <c r="D137" s="48" t="s">
        <v>2163</v>
      </c>
      <c r="E137" s="49" t="s">
        <v>2164</v>
      </c>
      <c r="F137" s="48" t="str">
        <f>IFERROR(__xludf.DUMMYFUNCTION("IF(D137="""","""",IFERROR(TRIM(REGEXEXTRACT(D137, ""^(.*?)(?:,| - )"")), D137))"),"Touch-up aerosol spray")</f>
        <v>Touch-up aerosol spray</v>
      </c>
      <c r="G137" s="48" t="str">
        <f>IFERROR(__xludf.DUMMYFUNCTION("IF(D137="""","""",IFERROR(TRIM(REGEXEXTRACT(D137, ""(?:,| - )(.*)$"")), """"))"),"Fanuc Gray")</f>
        <v>Fanuc Gray</v>
      </c>
      <c r="H137" s="48" t="s">
        <v>2165</v>
      </c>
      <c r="I137" s="48" t="s">
        <v>71</v>
      </c>
      <c r="J137" s="48" t="s">
        <v>2129</v>
      </c>
      <c r="K137" s="50"/>
      <c r="L137" s="51"/>
      <c r="M137" s="51"/>
      <c r="N137" s="51"/>
      <c r="O137" s="52" t="str">
        <f t="shared" si="3"/>
        <v/>
      </c>
      <c r="P137" s="53" t="str">
        <f t="shared" si="4"/>
        <v/>
      </c>
      <c r="Q137" s="51"/>
      <c r="R137" s="54"/>
      <c r="S137" s="48" t="s">
        <v>2161</v>
      </c>
      <c r="T137" s="27"/>
      <c r="U137" s="27"/>
      <c r="V137" s="27"/>
      <c r="W137" s="27"/>
      <c r="X137" s="27"/>
      <c r="Y137" s="27"/>
      <c r="Z137" s="27"/>
      <c r="AA137" s="27"/>
      <c r="AB137" s="27"/>
    </row>
    <row r="138" ht="48.0" hidden="1" customHeight="1">
      <c r="A138" s="49" t="s">
        <v>2166</v>
      </c>
      <c r="B138" s="47" t="s">
        <v>2077</v>
      </c>
      <c r="C138" s="47" t="s">
        <v>2077</v>
      </c>
      <c r="D138" s="48" t="s">
        <v>2167</v>
      </c>
      <c r="E138" s="49" t="s">
        <v>2168</v>
      </c>
      <c r="F138" s="48" t="str">
        <f>IFERROR(__xludf.DUMMYFUNCTION("IF(D138="""","""",IFERROR(TRIM(REGEXEXTRACT(D138, ""^(.*?)(?:,| - )"")), D138))"),"Touch-up bottle (brush applicator)")</f>
        <v>Touch-up bottle (brush applicator)</v>
      </c>
      <c r="G138" s="48" t="str">
        <f>IFERROR(__xludf.DUMMYFUNCTION("IF(D138="""","""",IFERROR(TRIM(REGEXEXTRACT(D138, ""(?:,| - )(.*)$"")), """"))"),"Lite Beige TUB")</f>
        <v>Lite Beige TUB</v>
      </c>
      <c r="H138" s="48"/>
      <c r="I138" s="48" t="s">
        <v>71</v>
      </c>
      <c r="J138" s="48" t="s">
        <v>2081</v>
      </c>
      <c r="K138" s="50"/>
      <c r="L138" s="51"/>
      <c r="M138" s="51"/>
      <c r="N138" s="51"/>
      <c r="O138" s="52" t="str">
        <f t="shared" si="3"/>
        <v/>
      </c>
      <c r="P138" s="53" t="str">
        <f t="shared" si="4"/>
        <v/>
      </c>
      <c r="Q138" s="51"/>
      <c r="R138" s="54"/>
      <c r="S138" s="48" t="s">
        <v>2169</v>
      </c>
      <c r="T138" s="27"/>
      <c r="U138" s="27"/>
      <c r="V138" s="27"/>
      <c r="W138" s="27"/>
      <c r="X138" s="27"/>
      <c r="Y138" s="27"/>
      <c r="Z138" s="27"/>
      <c r="AA138" s="27"/>
      <c r="AB138" s="27"/>
    </row>
    <row r="139" ht="48.0" hidden="1" customHeight="1">
      <c r="A139" s="49" t="s">
        <v>2170</v>
      </c>
      <c r="B139" s="47" t="s">
        <v>2077</v>
      </c>
      <c r="C139" s="47" t="s">
        <v>2077</v>
      </c>
      <c r="D139" s="48" t="s">
        <v>2171</v>
      </c>
      <c r="E139" s="49" t="s">
        <v>2172</v>
      </c>
      <c r="F139" s="48" t="str">
        <f>IFERROR(__xludf.DUMMYFUNCTION("IF(D139="""","""",IFERROR(TRIM(REGEXEXTRACT(D139, ""^(.*?)(?:,| - )"")), D139))"),"Touch-up aerosol spray")</f>
        <v>Touch-up aerosol spray</v>
      </c>
      <c r="G139" s="48" t="str">
        <f>IFERROR(__xludf.DUMMYFUNCTION("IF(D139="""","""",IFERROR(TRIM(REGEXEXTRACT(D139, ""(?:,| - )(.*)$"")), """"))"),"Lite Beige")</f>
        <v>Lite Beige</v>
      </c>
      <c r="H139" s="48"/>
      <c r="I139" s="48" t="s">
        <v>71</v>
      </c>
      <c r="J139" s="48" t="s">
        <v>2129</v>
      </c>
      <c r="K139" s="50"/>
      <c r="L139" s="51"/>
      <c r="M139" s="51"/>
      <c r="N139" s="51"/>
      <c r="O139" s="52" t="str">
        <f t="shared" si="3"/>
        <v/>
      </c>
      <c r="P139" s="53" t="str">
        <f t="shared" si="4"/>
        <v/>
      </c>
      <c r="Q139" s="51"/>
      <c r="R139" s="54"/>
      <c r="S139" s="48" t="s">
        <v>2169</v>
      </c>
      <c r="T139" s="27"/>
      <c r="U139" s="27"/>
      <c r="V139" s="27"/>
      <c r="W139" s="27"/>
      <c r="X139" s="27"/>
      <c r="Y139" s="27"/>
      <c r="Z139" s="27"/>
      <c r="AA139" s="27"/>
      <c r="AB139" s="27"/>
    </row>
    <row r="140" ht="48.0" hidden="1" customHeight="1">
      <c r="A140" s="49" t="s">
        <v>2173</v>
      </c>
      <c r="B140" s="47" t="s">
        <v>2077</v>
      </c>
      <c r="C140" s="47" t="s">
        <v>2077</v>
      </c>
      <c r="D140" s="48" t="s">
        <v>456</v>
      </c>
      <c r="E140" s="49" t="s">
        <v>2174</v>
      </c>
      <c r="F140" s="48" t="str">
        <f>IFERROR(__xludf.DUMMYFUNCTION("IF(D140="""","""",IFERROR(TRIM(REGEXEXTRACT(D140, ""^(.*?)(?:,| - )"")), D140))"),"Static climbing rope")</f>
        <v>Static climbing rope</v>
      </c>
      <c r="G140" s="48" t="str">
        <f>IFERROR(__xludf.DUMMYFUNCTION("IF(D140="""","""",IFERROR(TRIM(REGEXEXTRACT(D140, ""(?:,| - )(.*)$"")), """"))"),"10 mm x 35 ft, with carabiner")</f>
        <v>10 mm x 35 ft, with carabiner</v>
      </c>
      <c r="H140" s="48" t="s">
        <v>2175</v>
      </c>
      <c r="I140" s="48" t="s">
        <v>157</v>
      </c>
      <c r="J140" s="48" t="s">
        <v>239</v>
      </c>
      <c r="K140" s="50">
        <v>20.99</v>
      </c>
      <c r="L140" s="51"/>
      <c r="M140" s="51">
        <v>20.0</v>
      </c>
      <c r="N140" s="51">
        <v>40.0</v>
      </c>
      <c r="O140" s="52" t="str">
        <f t="shared" si="3"/>
        <v/>
      </c>
      <c r="P140" s="53" t="str">
        <f t="shared" si="4"/>
        <v/>
      </c>
      <c r="Q140" s="51"/>
      <c r="R140" s="54">
        <v>46195.0</v>
      </c>
      <c r="S140" s="48" t="s">
        <v>2176</v>
      </c>
      <c r="T140" s="27"/>
      <c r="U140" s="27"/>
      <c r="V140" s="27"/>
      <c r="W140" s="27"/>
      <c r="X140" s="27"/>
      <c r="Y140" s="27"/>
      <c r="Z140" s="27"/>
      <c r="AA140" s="27"/>
      <c r="AB140" s="27"/>
    </row>
    <row r="141" ht="48.0" hidden="1" customHeight="1">
      <c r="A141" s="49" t="s">
        <v>2177</v>
      </c>
      <c r="B141" s="47" t="s">
        <v>2077</v>
      </c>
      <c r="C141" s="47" t="s">
        <v>2077</v>
      </c>
      <c r="D141" s="48" t="s">
        <v>2178</v>
      </c>
      <c r="E141" s="49" t="s">
        <v>2179</v>
      </c>
      <c r="F141" s="48" t="str">
        <f>IFERROR(__xludf.DUMMYFUNCTION("IF(D141="""","""",IFERROR(TRIM(REGEXEXTRACT(D141, ""^(.*?)(?:,| - )"")), D141))"),"Touch-up bottle (brush applicator)")</f>
        <v>Touch-up bottle (brush applicator)</v>
      </c>
      <c r="G141" s="48" t="str">
        <f>IFERROR(__xludf.DUMMYFUNCTION("IF(D141="""","""",IFERROR(TRIM(REGEXEXTRACT(D141, ""(?:,| - )(.*)$"")), """"))"),"Wild Rice TUB")</f>
        <v>Wild Rice TUB</v>
      </c>
      <c r="H141" s="48"/>
      <c r="I141" s="48" t="s">
        <v>71</v>
      </c>
      <c r="J141" s="48" t="s">
        <v>2081</v>
      </c>
      <c r="K141" s="50"/>
      <c r="L141" s="51"/>
      <c r="M141" s="51"/>
      <c r="N141" s="51"/>
      <c r="O141" s="52" t="str">
        <f t="shared" si="3"/>
        <v/>
      </c>
      <c r="P141" s="53" t="str">
        <f t="shared" si="4"/>
        <v/>
      </c>
      <c r="Q141" s="51"/>
      <c r="R141" s="54"/>
      <c r="S141" s="48" t="s">
        <v>2180</v>
      </c>
      <c r="T141" s="27"/>
      <c r="U141" s="27"/>
      <c r="V141" s="27"/>
      <c r="W141" s="27"/>
      <c r="X141" s="27"/>
      <c r="Y141" s="27"/>
      <c r="Z141" s="27"/>
      <c r="AA141" s="27"/>
      <c r="AB141" s="27"/>
    </row>
    <row r="142" ht="48.0" hidden="1" customHeight="1">
      <c r="A142" s="49" t="s">
        <v>2181</v>
      </c>
      <c r="B142" s="47" t="s">
        <v>2077</v>
      </c>
      <c r="C142" s="47" t="s">
        <v>2077</v>
      </c>
      <c r="D142" s="48" t="s">
        <v>2182</v>
      </c>
      <c r="E142" s="49" t="s">
        <v>2183</v>
      </c>
      <c r="F142" s="48" t="str">
        <f>IFERROR(__xludf.DUMMYFUNCTION("IF(D142="""","""",IFERROR(TRIM(REGEXEXTRACT(D142, ""^(.*?)(?:,| - )"")), D142))"),"Touch-up aerosol spray")</f>
        <v>Touch-up aerosol spray</v>
      </c>
      <c r="G142" s="48" t="str">
        <f>IFERROR(__xludf.DUMMYFUNCTION("IF(D142="""","""",IFERROR(TRIM(REGEXEXTRACT(D142, ""(?:,| - )(.*)$"")), """"))"),"Wild Rice Bake Enamel")</f>
        <v>Wild Rice Bake Enamel</v>
      </c>
      <c r="H142" s="48" t="s">
        <v>2184</v>
      </c>
      <c r="I142" s="48" t="s">
        <v>71</v>
      </c>
      <c r="J142" s="48" t="s">
        <v>2129</v>
      </c>
      <c r="K142" s="50"/>
      <c r="L142" s="51"/>
      <c r="M142" s="51"/>
      <c r="N142" s="51"/>
      <c r="O142" s="52" t="str">
        <f t="shared" si="3"/>
        <v/>
      </c>
      <c r="P142" s="53" t="str">
        <f t="shared" si="4"/>
        <v/>
      </c>
      <c r="Q142" s="51"/>
      <c r="R142" s="54"/>
      <c r="S142" s="48" t="s">
        <v>2185</v>
      </c>
      <c r="T142" s="27"/>
      <c r="U142" s="27"/>
      <c r="V142" s="27"/>
      <c r="W142" s="27"/>
      <c r="X142" s="27"/>
      <c r="Y142" s="27"/>
      <c r="Z142" s="27"/>
      <c r="AA142" s="27"/>
      <c r="AB142" s="27"/>
    </row>
    <row r="143" ht="48.0" customHeight="1">
      <c r="A143" s="49" t="s">
        <v>2186</v>
      </c>
      <c r="B143" s="47" t="s">
        <v>1865</v>
      </c>
      <c r="C143" s="47" t="s">
        <v>2060</v>
      </c>
      <c r="D143" s="48" t="s">
        <v>128</v>
      </c>
      <c r="E143" s="48" t="s">
        <v>128</v>
      </c>
      <c r="F143" s="48" t="str">
        <f>IFERROR(__xludf.DUMMYFUNCTION("IF(D143="""","""",IFERROR(TRIM(REGEXEXTRACT(D143, ""^(.*?)(?:,| - )"")), D143))"),"1-1/2 X 3/4 X 16GA REC TUBE")</f>
        <v>1-1/2 X 3/4 X 16GA REC TUBE</v>
      </c>
      <c r="G143" s="48" t="str">
        <f>IFERROR(__xludf.DUMMYFUNCTION("IF(D143="""","""",IFERROR(TRIM(REGEXEXTRACT(D143, ""(?:,| - )(.*)$"")), """"))"),"")</f>
        <v/>
      </c>
      <c r="H143" s="48" t="s">
        <v>129</v>
      </c>
      <c r="I143" s="48" t="s">
        <v>78</v>
      </c>
      <c r="J143" s="48" t="s">
        <v>2072</v>
      </c>
      <c r="K143" s="50">
        <v>1.21</v>
      </c>
      <c r="L143" s="51"/>
      <c r="M143" s="51"/>
      <c r="N143" s="51"/>
      <c r="O143" s="52" t="str">
        <f t="shared" si="3"/>
        <v/>
      </c>
      <c r="P143" s="53" t="str">
        <f t="shared" si="4"/>
        <v/>
      </c>
      <c r="Q143" s="51"/>
      <c r="R143" s="54">
        <v>45264.0</v>
      </c>
      <c r="S143" s="48" t="s">
        <v>2187</v>
      </c>
      <c r="T143" s="27"/>
      <c r="U143" s="27"/>
      <c r="V143" s="27"/>
      <c r="W143" s="27"/>
      <c r="X143" s="27"/>
      <c r="Y143" s="27"/>
      <c r="Z143" s="27"/>
      <c r="AA143" s="27"/>
      <c r="AB143" s="27"/>
    </row>
    <row r="144" ht="48.0" customHeight="1">
      <c r="A144" s="49" t="s">
        <v>2188</v>
      </c>
      <c r="B144" s="47" t="s">
        <v>1865</v>
      </c>
      <c r="C144" s="47" t="s">
        <v>2189</v>
      </c>
      <c r="D144" s="48" t="s">
        <v>617</v>
      </c>
      <c r="E144" s="49" t="s">
        <v>2190</v>
      </c>
      <c r="F144" s="48" t="str">
        <f>IFERROR(__xludf.DUMMYFUNCTION("IF(D144="""","""",IFERROR(TRIM(REGEXEXTRACT(D144, ""^(.*?)(?:,| - )"")), D144))"),"Angle grinder")</f>
        <v>Angle grinder</v>
      </c>
      <c r="G144" s="48" t="str">
        <f>IFERROR(__xludf.DUMMYFUNCTION("IF(D144="""","""",IFERROR(TRIM(REGEXEXTRACT(D144, ""(?:,| - )(.*)$"")), """"))"),"4-1/2"", AC/DC switch (2-pack)")</f>
        <v>4-1/2", AC/DC switch (2-pack)</v>
      </c>
      <c r="H144" s="48" t="s">
        <v>2191</v>
      </c>
      <c r="I144" s="48" t="s">
        <v>157</v>
      </c>
      <c r="J144" s="48" t="s">
        <v>618</v>
      </c>
      <c r="K144" s="50">
        <v>199.0</v>
      </c>
      <c r="L144" s="51"/>
      <c r="M144" s="51">
        <v>0.0</v>
      </c>
      <c r="N144" s="51">
        <v>1.0</v>
      </c>
      <c r="O144" s="52" t="str">
        <f t="shared" si="3"/>
        <v/>
      </c>
      <c r="P144" s="53" t="str">
        <f t="shared" si="4"/>
        <v/>
      </c>
      <c r="Q144" s="51"/>
      <c r="R144" s="54">
        <v>46181.0</v>
      </c>
      <c r="S144" s="48" t="s">
        <v>2192</v>
      </c>
      <c r="T144" s="27"/>
      <c r="U144" s="27"/>
      <c r="V144" s="27"/>
      <c r="W144" s="27"/>
      <c r="X144" s="27"/>
      <c r="Y144" s="27"/>
      <c r="Z144" s="27"/>
      <c r="AA144" s="27"/>
      <c r="AB144" s="27"/>
    </row>
    <row r="145" ht="48.0" customHeight="1">
      <c r="A145" s="49" t="s">
        <v>2193</v>
      </c>
      <c r="B145" s="47" t="s">
        <v>1865</v>
      </c>
      <c r="C145" s="47" t="s">
        <v>2189</v>
      </c>
      <c r="D145" s="48" t="s">
        <v>2194</v>
      </c>
      <c r="E145" s="49" t="s">
        <v>2195</v>
      </c>
      <c r="F145" s="48" t="str">
        <f>IFERROR(__xludf.DUMMYFUNCTION("IF(D145="""","""",IFERROR(TRIM(REGEXEXTRACT(D145, ""^(.*?)(?:,| - )"")), D145))"),"3M 769F Silver Flap Disc 4-1/2"" x 7/8"" 40+ TY27")</f>
        <v>3M 769F Silver Flap Disc 4-1/2" x 7/8" 40+ TY27</v>
      </c>
      <c r="G145" s="48" t="str">
        <f>IFERROR(__xludf.DUMMYFUNCTION("IF(D145="""","""",IFERROR(TRIM(REGEXEXTRACT(D145, ""(?:,| - )(.*)$"")), """"))"),"")</f>
        <v/>
      </c>
      <c r="H145" s="48" t="s">
        <v>1980</v>
      </c>
      <c r="I145" s="48" t="s">
        <v>1954</v>
      </c>
      <c r="J145" s="48" t="s">
        <v>239</v>
      </c>
      <c r="K145" s="50">
        <v>5.28</v>
      </c>
      <c r="L145" s="51"/>
      <c r="M145" s="51"/>
      <c r="N145" s="51"/>
      <c r="O145" s="52" t="str">
        <f t="shared" si="3"/>
        <v/>
      </c>
      <c r="P145" s="53" t="str">
        <f t="shared" si="4"/>
        <v/>
      </c>
      <c r="Q145" s="51"/>
      <c r="R145" s="54">
        <v>46239.0</v>
      </c>
      <c r="S145" s="48" t="s">
        <v>2196</v>
      </c>
      <c r="T145" s="27"/>
      <c r="U145" s="27"/>
      <c r="V145" s="27"/>
      <c r="W145" s="27"/>
      <c r="X145" s="27"/>
      <c r="Y145" s="27"/>
      <c r="Z145" s="27"/>
      <c r="AA145" s="27"/>
      <c r="AB145" s="27"/>
    </row>
    <row r="146" ht="48.0" customHeight="1">
      <c r="A146" s="49" t="s">
        <v>2197</v>
      </c>
      <c r="B146" s="47" t="s">
        <v>1865</v>
      </c>
      <c r="C146" s="47" t="s">
        <v>2198</v>
      </c>
      <c r="D146" s="48" t="s">
        <v>258</v>
      </c>
      <c r="E146" s="49" t="s">
        <v>2199</v>
      </c>
      <c r="F146" s="48" t="str">
        <f>IFERROR(__xludf.DUMMYFUNCTION("IF(D146="""","""",IFERROR(TRIM(REGEXEXTRACT(D146, ""^(.*?)(?:,| - )"")), D146))"),"Black Texture TGIC Polyester")</f>
        <v>Black Texture TGIC Polyester</v>
      </c>
      <c r="G146" s="48" t="str">
        <f>IFERROR(__xludf.DUMMYFUNCTION("IF(D146="""","""",IFERROR(TRIM(REGEXEXTRACT(D146, ""(?:,| - )(.*)$"")), """"))"),"")</f>
        <v/>
      </c>
      <c r="H146" s="48" t="s">
        <v>380</v>
      </c>
      <c r="I146" s="48" t="s">
        <v>71</v>
      </c>
      <c r="J146" s="48" t="s">
        <v>641</v>
      </c>
      <c r="K146" s="50">
        <v>6.39</v>
      </c>
      <c r="L146" s="51"/>
      <c r="M146" s="51"/>
      <c r="N146" s="51"/>
      <c r="O146" s="52" t="str">
        <f t="shared" si="3"/>
        <v/>
      </c>
      <c r="P146" s="53" t="str">
        <f t="shared" si="4"/>
        <v/>
      </c>
      <c r="Q146" s="51"/>
      <c r="R146" s="54">
        <v>45663.0</v>
      </c>
      <c r="S146" s="48" t="s">
        <v>2200</v>
      </c>
      <c r="T146" s="27"/>
      <c r="U146" s="27"/>
      <c r="V146" s="27"/>
      <c r="W146" s="27"/>
      <c r="X146" s="27"/>
      <c r="Y146" s="27"/>
      <c r="Z146" s="27"/>
      <c r="AA146" s="27"/>
      <c r="AB146" s="27"/>
    </row>
    <row r="147" ht="48.0" customHeight="1">
      <c r="A147" s="49" t="s">
        <v>2201</v>
      </c>
      <c r="B147" s="47" t="s">
        <v>1865</v>
      </c>
      <c r="C147" s="47" t="s">
        <v>2198</v>
      </c>
      <c r="D147" s="48" t="s">
        <v>343</v>
      </c>
      <c r="E147" s="49" t="s">
        <v>2202</v>
      </c>
      <c r="F147" s="48" t="str">
        <f>IFERROR(__xludf.DUMMYFUNCTION("IF(D147="""","""",IFERROR(TRIM(REGEXEXTRACT(D147, ""^(.*?)(?:,| - )"")), D147))"),"Deck Clay Texture S/G TGIC Polyester")</f>
        <v>Deck Clay Texture S/G TGIC Polyester</v>
      </c>
      <c r="G147" s="48" t="str">
        <f>IFERROR(__xludf.DUMMYFUNCTION("IF(D147="""","""",IFERROR(TRIM(REGEXEXTRACT(D147, ""(?:,| - )(.*)$"")), """"))"),"")</f>
        <v/>
      </c>
      <c r="H147" s="48" t="s">
        <v>395</v>
      </c>
      <c r="I147" s="48" t="s">
        <v>71</v>
      </c>
      <c r="J147" s="48" t="s">
        <v>641</v>
      </c>
      <c r="K147" s="50">
        <v>8.64</v>
      </c>
      <c r="L147" s="51"/>
      <c r="M147" s="51"/>
      <c r="N147" s="51"/>
      <c r="O147" s="52" t="str">
        <f t="shared" si="3"/>
        <v/>
      </c>
      <c r="P147" s="53" t="str">
        <f t="shared" si="4"/>
        <v/>
      </c>
      <c r="Q147" s="51"/>
      <c r="R147" s="54">
        <v>45838.0</v>
      </c>
      <c r="S147" s="48" t="s">
        <v>2200</v>
      </c>
      <c r="T147" s="27"/>
      <c r="U147" s="27"/>
      <c r="V147" s="27"/>
      <c r="W147" s="27"/>
      <c r="X147" s="27"/>
      <c r="Y147" s="27"/>
      <c r="Z147" s="27"/>
      <c r="AA147" s="27"/>
      <c r="AB147" s="27"/>
    </row>
    <row r="148" ht="48.0" customHeight="1">
      <c r="A148" s="49" t="s">
        <v>2203</v>
      </c>
      <c r="B148" s="47" t="s">
        <v>1865</v>
      </c>
      <c r="C148" s="47" t="s">
        <v>2198</v>
      </c>
      <c r="D148" s="48" t="s">
        <v>75</v>
      </c>
      <c r="E148" s="49" t="s">
        <v>2204</v>
      </c>
      <c r="F148" s="48" t="str">
        <f>IFERROR(__xludf.DUMMYFUNCTION("IF(D148="""","""",IFERROR(TRIM(REGEXEXTRACT(D148, ""^(.*?)(?:,| - )"")), D148))"),"Fanuc Gray Texture TGIC Polyester")</f>
        <v>Fanuc Gray Texture TGIC Polyester</v>
      </c>
      <c r="G148" s="48" t="str">
        <f>IFERROR(__xludf.DUMMYFUNCTION("IF(D148="""","""",IFERROR(TRIM(REGEXEXTRACT(D148, ""(?:,| - )(.*)$"")), """"))"),"")</f>
        <v/>
      </c>
      <c r="H148" s="48" t="s">
        <v>76</v>
      </c>
      <c r="I148" s="48" t="s">
        <v>71</v>
      </c>
      <c r="J148" s="48" t="s">
        <v>641</v>
      </c>
      <c r="K148" s="50">
        <v>6.92</v>
      </c>
      <c r="L148" s="51"/>
      <c r="M148" s="51"/>
      <c r="N148" s="51"/>
      <c r="O148" s="52" t="str">
        <f t="shared" si="3"/>
        <v/>
      </c>
      <c r="P148" s="53" t="str">
        <f t="shared" si="4"/>
        <v/>
      </c>
      <c r="Q148" s="51"/>
      <c r="R148" s="54">
        <v>45685.0</v>
      </c>
      <c r="S148" s="48" t="s">
        <v>2200</v>
      </c>
      <c r="T148" s="27"/>
      <c r="U148" s="27"/>
      <c r="V148" s="27"/>
      <c r="W148" s="27"/>
      <c r="X148" s="27"/>
      <c r="Y148" s="27"/>
      <c r="Z148" s="27"/>
      <c r="AA148" s="27"/>
      <c r="AB148" s="27"/>
    </row>
    <row r="149" ht="48.0" customHeight="1">
      <c r="A149" s="49" t="s">
        <v>2205</v>
      </c>
      <c r="B149" s="47" t="s">
        <v>1865</v>
      </c>
      <c r="C149" s="47" t="s">
        <v>2198</v>
      </c>
      <c r="D149" s="48" t="s">
        <v>204</v>
      </c>
      <c r="E149" s="49" t="s">
        <v>2206</v>
      </c>
      <c r="F149" s="48" t="str">
        <f>IFERROR(__xludf.DUMMYFUNCTION("IF(D149="""","""",IFERROR(TRIM(REGEXEXTRACT(D149, ""^(.*?)(?:,| - )"")), D149))"),"Gray Zinc Epoxy Primer")</f>
        <v>Gray Zinc Epoxy Primer</v>
      </c>
      <c r="G149" s="48" t="str">
        <f>IFERROR(__xludf.DUMMYFUNCTION("IF(D149="""","""",IFERROR(TRIM(REGEXEXTRACT(D149, ""(?:,| - )(.*)$"")), """"))"),"")</f>
        <v/>
      </c>
      <c r="H149" s="48" t="s">
        <v>337</v>
      </c>
      <c r="I149" s="48" t="s">
        <v>71</v>
      </c>
      <c r="J149" s="48" t="s">
        <v>641</v>
      </c>
      <c r="K149" s="50">
        <v>9.45</v>
      </c>
      <c r="L149" s="51"/>
      <c r="M149" s="51"/>
      <c r="N149" s="51"/>
      <c r="O149" s="52" t="str">
        <f t="shared" si="3"/>
        <v/>
      </c>
      <c r="P149" s="53" t="str">
        <f t="shared" si="4"/>
        <v/>
      </c>
      <c r="Q149" s="51"/>
      <c r="R149" s="54">
        <v>45880.0</v>
      </c>
      <c r="S149" s="48" t="s">
        <v>2207</v>
      </c>
      <c r="T149" s="27"/>
      <c r="U149" s="27"/>
      <c r="V149" s="27"/>
      <c r="W149" s="27"/>
      <c r="X149" s="27"/>
      <c r="Y149" s="27"/>
      <c r="Z149" s="27"/>
      <c r="AA149" s="27"/>
      <c r="AB149" s="27"/>
    </row>
    <row r="150" ht="48.0" customHeight="1">
      <c r="A150" s="49" t="s">
        <v>2208</v>
      </c>
      <c r="B150" s="47" t="s">
        <v>1865</v>
      </c>
      <c r="C150" s="47" t="s">
        <v>2198</v>
      </c>
      <c r="D150" s="48" t="s">
        <v>507</v>
      </c>
      <c r="E150" s="49" t="s">
        <v>2209</v>
      </c>
      <c r="F150" s="48" t="str">
        <f>IFERROR(__xludf.DUMMYFUNCTION("IF(D150="""","""",IFERROR(TRIM(REGEXEXTRACT(D150, ""^(.*?)(?:,| - )"")), D150))"),"Lite Beige Tex. S/D TGIC Polyester")</f>
        <v>Lite Beige Tex. S/D TGIC Polyester</v>
      </c>
      <c r="G150" s="48" t="str">
        <f>IFERROR(__xludf.DUMMYFUNCTION("IF(D150="""","""",IFERROR(TRIM(REGEXEXTRACT(D150, ""(?:,| - )(.*)$"")), """"))"),"")</f>
        <v/>
      </c>
      <c r="H150" s="48" t="s">
        <v>719</v>
      </c>
      <c r="I150" s="48" t="s">
        <v>71</v>
      </c>
      <c r="J150" s="48" t="s">
        <v>641</v>
      </c>
      <c r="K150" s="50">
        <v>8.32</v>
      </c>
      <c r="L150" s="51"/>
      <c r="M150" s="51"/>
      <c r="N150" s="51"/>
      <c r="O150" s="52" t="str">
        <f t="shared" si="3"/>
        <v/>
      </c>
      <c r="P150" s="53" t="str">
        <f t="shared" si="4"/>
        <v/>
      </c>
      <c r="Q150" s="51"/>
      <c r="R150" s="54">
        <v>45838.0</v>
      </c>
      <c r="S150" s="48" t="s">
        <v>2200</v>
      </c>
      <c r="T150" s="27"/>
      <c r="U150" s="27"/>
      <c r="V150" s="27"/>
      <c r="W150" s="27"/>
      <c r="X150" s="27"/>
      <c r="Y150" s="27"/>
      <c r="Z150" s="27"/>
      <c r="AA150" s="27"/>
      <c r="AB150" s="27"/>
    </row>
    <row r="151" ht="48.0" customHeight="1">
      <c r="A151" s="49" t="s">
        <v>2210</v>
      </c>
      <c r="B151" s="47" t="s">
        <v>1865</v>
      </c>
      <c r="C151" s="47" t="s">
        <v>2198</v>
      </c>
      <c r="D151" s="48" t="s">
        <v>279</v>
      </c>
      <c r="E151" s="49" t="s">
        <v>2211</v>
      </c>
      <c r="F151" s="48" t="str">
        <f>IFERROR(__xludf.DUMMYFUNCTION("IF(D151="""","""",IFERROR(TRIM(REGEXEXTRACT(D151, ""^(.*?)(?:,| - )"")), D151))"),"Oil Rub Bronze M/C TGIC Polyester")</f>
        <v>Oil Rub Bronze M/C TGIC Polyester</v>
      </c>
      <c r="G151" s="48" t="str">
        <f>IFERROR(__xludf.DUMMYFUNCTION("IF(D151="""","""",IFERROR(TRIM(REGEXEXTRACT(D151, ""(?:,| - )(.*)$"")), """"))"),"")</f>
        <v/>
      </c>
      <c r="H151" s="48" t="s">
        <v>375</v>
      </c>
      <c r="I151" s="48" t="s">
        <v>71</v>
      </c>
      <c r="J151" s="48" t="s">
        <v>641</v>
      </c>
      <c r="K151" s="50">
        <v>8.68</v>
      </c>
      <c r="L151" s="51"/>
      <c r="M151" s="51"/>
      <c r="N151" s="51"/>
      <c r="O151" s="52" t="str">
        <f t="shared" si="3"/>
        <v/>
      </c>
      <c r="P151" s="53" t="str">
        <f t="shared" si="4"/>
        <v/>
      </c>
      <c r="Q151" s="51"/>
      <c r="R151" s="54">
        <v>45663.0</v>
      </c>
      <c r="S151" s="48" t="s">
        <v>2200</v>
      </c>
      <c r="T151" s="27"/>
      <c r="U151" s="27"/>
      <c r="V151" s="27"/>
      <c r="W151" s="27"/>
      <c r="X151" s="27"/>
      <c r="Y151" s="27"/>
      <c r="Z151" s="27"/>
      <c r="AA151" s="27"/>
      <c r="AB151" s="27"/>
    </row>
    <row r="152" ht="48.0" customHeight="1">
      <c r="A152" s="49" t="s">
        <v>2212</v>
      </c>
      <c r="B152" s="47" t="s">
        <v>1865</v>
      </c>
      <c r="C152" s="47" t="s">
        <v>2198</v>
      </c>
      <c r="D152" s="48" t="s">
        <v>331</v>
      </c>
      <c r="E152" s="49" t="s">
        <v>2213</v>
      </c>
      <c r="F152" s="48" t="str">
        <f>IFERROR(__xludf.DUMMYFUNCTION("IF(D152="""","""",IFERROR(TRIM(REGEXEXTRACT(D152, ""^(.*?)(?:,| - )"")), D152))"),"Wild Rice Texture TGIC Polyester")</f>
        <v>Wild Rice Texture TGIC Polyester</v>
      </c>
      <c r="G152" s="48" t="str">
        <f>IFERROR(__xludf.DUMMYFUNCTION("IF(D152="""","""",IFERROR(TRIM(REGEXEXTRACT(D152, ""(?:,| - )(.*)$"")), """"))"),"")</f>
        <v/>
      </c>
      <c r="H152" s="48" t="s">
        <v>332</v>
      </c>
      <c r="I152" s="48" t="s">
        <v>71</v>
      </c>
      <c r="J152" s="48" t="s">
        <v>641</v>
      </c>
      <c r="K152" s="50">
        <v>9.84</v>
      </c>
      <c r="L152" s="51"/>
      <c r="M152" s="51"/>
      <c r="N152" s="51"/>
      <c r="O152" s="52" t="str">
        <f t="shared" si="3"/>
        <v/>
      </c>
      <c r="P152" s="53" t="str">
        <f t="shared" si="4"/>
        <v/>
      </c>
      <c r="Q152" s="51"/>
      <c r="R152" s="54">
        <v>45663.0</v>
      </c>
      <c r="S152" s="48" t="s">
        <v>2200</v>
      </c>
      <c r="T152" s="27"/>
      <c r="U152" s="27"/>
      <c r="V152" s="27"/>
      <c r="W152" s="27"/>
      <c r="X152" s="27"/>
      <c r="Y152" s="27"/>
      <c r="Z152" s="27"/>
      <c r="AA152" s="27"/>
      <c r="AB152" s="27"/>
    </row>
    <row r="153" ht="48.0" customHeight="1">
      <c r="A153" s="49" t="s">
        <v>2214</v>
      </c>
      <c r="B153" s="47" t="s">
        <v>1865</v>
      </c>
      <c r="C153" s="47" t="s">
        <v>2198</v>
      </c>
      <c r="D153" s="48" t="s">
        <v>326</v>
      </c>
      <c r="E153" s="49" t="s">
        <v>2215</v>
      </c>
      <c r="F153" s="48" t="str">
        <f>IFERROR(__xludf.DUMMYFUNCTION("IF(D153="""","""",IFERROR(TRIM(REGEXEXTRACT(D153, ""^(.*?)(?:,| - )"")), D153))"),"Tie wire")</f>
        <v>Tie wire</v>
      </c>
      <c r="G153" s="48" t="str">
        <f>IFERROR(__xludf.DUMMYFUNCTION("IF(D153="""","""",IFERROR(TRIM(REGEXEXTRACT(D153, ""(?:,| - )(.*)$"")), """"))"),"16 gauge black annealed steel, 360 ft coil")</f>
        <v>16 gauge black annealed steel, 360 ft coil</v>
      </c>
      <c r="H153" s="48" t="s">
        <v>2216</v>
      </c>
      <c r="I153" s="48" t="s">
        <v>157</v>
      </c>
      <c r="J153" s="48" t="s">
        <v>327</v>
      </c>
      <c r="K153" s="50">
        <v>16.65</v>
      </c>
      <c r="L153" s="51"/>
      <c r="M153" s="51">
        <v>0.0</v>
      </c>
      <c r="N153" s="51">
        <v>1.0</v>
      </c>
      <c r="O153" s="52" t="str">
        <f t="shared" si="3"/>
        <v/>
      </c>
      <c r="P153" s="53" t="str">
        <f t="shared" si="4"/>
        <v/>
      </c>
      <c r="Q153" s="51"/>
      <c r="R153" s="54">
        <v>46209.0</v>
      </c>
      <c r="S153" s="48" t="s">
        <v>2217</v>
      </c>
      <c r="T153" s="27"/>
      <c r="U153" s="27"/>
      <c r="V153" s="27"/>
      <c r="W153" s="27"/>
      <c r="X153" s="27"/>
      <c r="Y153" s="27"/>
      <c r="Z153" s="27"/>
      <c r="AA153" s="27"/>
      <c r="AB153" s="27"/>
    </row>
    <row r="154" ht="48.0" customHeight="1">
      <c r="A154" s="49" t="s">
        <v>2218</v>
      </c>
      <c r="B154" s="47" t="s">
        <v>1865</v>
      </c>
      <c r="C154" s="47" t="s">
        <v>2198</v>
      </c>
      <c r="D154" s="48" t="s">
        <v>2219</v>
      </c>
      <c r="E154" s="49" t="s">
        <v>2220</v>
      </c>
      <c r="F154" s="48" t="str">
        <f>IFERROR(__xludf.DUMMYFUNCTION("IF(D154="""","""",IFERROR(TRIM(REGEXEXTRACT(D154, ""^(.*?)(?:,| - )"")), D154))"),"High temp silicone tapered masking plugs")</f>
        <v>High temp silicone tapered masking plugs</v>
      </c>
      <c r="G154" s="48" t="str">
        <f>IFERROR(__xludf.DUMMYFUNCTION("IF(D154="""","""",IFERROR(TRIM(REGEXEXTRACT(D154, ""(?:,| - )(.*)$"")), """"))"),"1/4"" x 3/8"" (50-pc kit)")</f>
        <v>1/4" x 3/8" (50-pc kit)</v>
      </c>
      <c r="H154" s="48" t="s">
        <v>2221</v>
      </c>
      <c r="I154" s="48" t="s">
        <v>2222</v>
      </c>
      <c r="J154" s="48" t="s">
        <v>2223</v>
      </c>
      <c r="K154" s="50">
        <v>8.5</v>
      </c>
      <c r="L154" s="51"/>
      <c r="M154" s="51">
        <v>0.0</v>
      </c>
      <c r="N154" s="51">
        <v>1.0</v>
      </c>
      <c r="O154" s="52" t="str">
        <f t="shared" si="3"/>
        <v/>
      </c>
      <c r="P154" s="53" t="str">
        <f t="shared" si="4"/>
        <v/>
      </c>
      <c r="Q154" s="51"/>
      <c r="R154" s="54">
        <v>45883.0</v>
      </c>
      <c r="S154" s="48" t="s">
        <v>2224</v>
      </c>
      <c r="T154" s="27"/>
      <c r="U154" s="27"/>
      <c r="V154" s="27"/>
      <c r="W154" s="27"/>
      <c r="X154" s="27"/>
      <c r="Y154" s="27"/>
      <c r="Z154" s="27"/>
      <c r="AA154" s="27"/>
      <c r="AB154" s="27"/>
    </row>
    <row r="155" ht="48.0" customHeight="1">
      <c r="A155" s="49" t="s">
        <v>2225</v>
      </c>
      <c r="B155" s="47" t="s">
        <v>1865</v>
      </c>
      <c r="C155" s="62" t="s">
        <v>2226</v>
      </c>
      <c r="D155" s="48" t="s">
        <v>446</v>
      </c>
      <c r="E155" s="49" t="s">
        <v>2227</v>
      </c>
      <c r="F155" s="48" t="str">
        <f>IFERROR(__xludf.DUMMYFUNCTION("IF(D155="""","""",IFERROR(TRIM(REGEXEXTRACT(D155, ""^(.*?)(?:,| - )"")), D155))"),"Particulate respirator N95")</f>
        <v>Particulate respirator N95</v>
      </c>
      <c r="G155" s="48" t="str">
        <f>IFERROR(__xludf.DUMMYFUNCTION("IF(D155="""","""",IFERROR(TRIM(REGEXEXTRACT(D155, ""(?:,| - )(.*)$"")), """"))"),"valved, disposable (80-pack)")</f>
        <v>valved, disposable (80-pack)</v>
      </c>
      <c r="H155" s="48" t="s">
        <v>2228</v>
      </c>
      <c r="I155" s="48" t="s">
        <v>157</v>
      </c>
      <c r="J155" s="48" t="s">
        <v>447</v>
      </c>
      <c r="K155" s="50">
        <v>120.52</v>
      </c>
      <c r="L155" s="51"/>
      <c r="M155" s="51">
        <v>1.0</v>
      </c>
      <c r="N155" s="51">
        <v>2.0</v>
      </c>
      <c r="O155" s="52" t="str">
        <f t="shared" si="3"/>
        <v/>
      </c>
      <c r="P155" s="53" t="str">
        <f t="shared" si="4"/>
        <v/>
      </c>
      <c r="Q155" s="51"/>
      <c r="R155" s="54">
        <v>46189.0</v>
      </c>
      <c r="S155" s="48" t="s">
        <v>2229</v>
      </c>
      <c r="T155" s="27"/>
      <c r="U155" s="27"/>
      <c r="V155" s="27"/>
      <c r="W155" s="27"/>
      <c r="X155" s="27"/>
      <c r="Y155" s="27"/>
      <c r="Z155" s="27"/>
      <c r="AA155" s="27"/>
      <c r="AB155" s="27"/>
    </row>
    <row r="156" ht="48.0" customHeight="1">
      <c r="A156" s="49" t="s">
        <v>2230</v>
      </c>
      <c r="B156" s="47" t="s">
        <v>1865</v>
      </c>
      <c r="C156" s="62" t="s">
        <v>2226</v>
      </c>
      <c r="D156" s="48" t="s">
        <v>440</v>
      </c>
      <c r="E156" s="49" t="s">
        <v>2231</v>
      </c>
      <c r="F156" s="48" t="str">
        <f>IFERROR(__xludf.DUMMYFUNCTION("IF(D156="""","""",IFERROR(TRIM(REGEXEXTRACT(D156, ""^(.*?)(?:,| - )"")), D156))"),"Half mask respirator")</f>
        <v>Half mask respirator</v>
      </c>
      <c r="G156" s="48" t="str">
        <f>IFERROR(__xludf.DUMMYFUNCTION("IF(D156="""","""",IFERROR(TRIM(REGEXEXTRACT(D156, ""(?:,| - )(.*)$"")), """"))"),"P100, reusable, size M/L")</f>
        <v>P100, reusable, size M/L</v>
      </c>
      <c r="H156" s="48" t="s">
        <v>2232</v>
      </c>
      <c r="I156" s="48" t="s">
        <v>157</v>
      </c>
      <c r="J156" s="48" t="s">
        <v>239</v>
      </c>
      <c r="K156" s="50">
        <v>55.46</v>
      </c>
      <c r="L156" s="51"/>
      <c r="M156" s="51">
        <v>1.0</v>
      </c>
      <c r="N156" s="51">
        <v>2.0</v>
      </c>
      <c r="O156" s="52" t="str">
        <f t="shared" si="3"/>
        <v/>
      </c>
      <c r="P156" s="53" t="str">
        <f t="shared" si="4"/>
        <v/>
      </c>
      <c r="Q156" s="51"/>
      <c r="R156" s="54">
        <v>46162.0</v>
      </c>
      <c r="S156" s="48" t="s">
        <v>2233</v>
      </c>
      <c r="T156" s="27"/>
      <c r="U156" s="27"/>
      <c r="V156" s="27"/>
      <c r="W156" s="27"/>
      <c r="X156" s="27"/>
      <c r="Y156" s="27"/>
      <c r="Z156" s="27"/>
      <c r="AA156" s="27"/>
      <c r="AB156" s="27"/>
    </row>
    <row r="157" ht="48.0" customHeight="1">
      <c r="A157" s="49" t="s">
        <v>2234</v>
      </c>
      <c r="B157" s="47" t="s">
        <v>1865</v>
      </c>
      <c r="C157" s="62" t="s">
        <v>2226</v>
      </c>
      <c r="D157" s="48" t="s">
        <v>2235</v>
      </c>
      <c r="E157" s="49" t="s">
        <v>2236</v>
      </c>
      <c r="F157" s="48" t="str">
        <f>IFERROR(__xludf.DUMMYFUNCTION("IF(D157="""","""",IFERROR(TRIM(REGEXEXTRACT(D157, ""^(.*?)(?:,| - )"")), D157))"),"P100 replacement filters for Elipse half mask (8-pack)")</f>
        <v>P100 replacement filters for Elipse half mask (8-pack)</v>
      </c>
      <c r="G157" s="48" t="str">
        <f>IFERROR(__xludf.DUMMYFUNCTION("IF(D157="""","""",IFERROR(TRIM(REGEXEXTRACT(D157, ""(?:,| - )(.*)$"")), """"))"),"")</f>
        <v/>
      </c>
      <c r="H157" s="48" t="s">
        <v>2237</v>
      </c>
      <c r="I157" s="48" t="s">
        <v>157</v>
      </c>
      <c r="J157" s="48" t="s">
        <v>486</v>
      </c>
      <c r="K157" s="50">
        <v>29.99</v>
      </c>
      <c r="L157" s="51"/>
      <c r="M157" s="51">
        <v>1.0</v>
      </c>
      <c r="N157" s="51">
        <v>2.0</v>
      </c>
      <c r="O157" s="52" t="str">
        <f t="shared" si="3"/>
        <v/>
      </c>
      <c r="P157" s="53" t="str">
        <f t="shared" si="4"/>
        <v/>
      </c>
      <c r="Q157" s="51"/>
      <c r="R157" s="54">
        <v>46156.0</v>
      </c>
      <c r="S157" s="48" t="s">
        <v>2238</v>
      </c>
      <c r="T157" s="27"/>
      <c r="U157" s="27"/>
      <c r="V157" s="27"/>
      <c r="W157" s="27"/>
      <c r="X157" s="27"/>
      <c r="Y157" s="27"/>
      <c r="Z157" s="27"/>
      <c r="AA157" s="27"/>
      <c r="AB157" s="27"/>
    </row>
    <row r="158" ht="48.0" customHeight="1">
      <c r="A158" s="49" t="s">
        <v>2239</v>
      </c>
      <c r="B158" s="47" t="s">
        <v>1865</v>
      </c>
      <c r="C158" s="62" t="s">
        <v>2226</v>
      </c>
      <c r="D158" s="48" t="s">
        <v>2240</v>
      </c>
      <c r="E158" s="49" t="s">
        <v>2241</v>
      </c>
      <c r="F158" s="48" t="str">
        <f>IFERROR(__xludf.DUMMYFUNCTION("IF(D158="""","""",IFERROR(TRIM(REGEXEXTRACT(D158, ""^(.*?)(?:,| - )"")), D158))"),"Safety glasses")</f>
        <v>Safety glasses</v>
      </c>
      <c r="G158" s="48" t="str">
        <f>IFERROR(__xludf.DUMMYFUNCTION("IF(D158="""","""",IFERROR(TRIM(REGEXEXTRACT(D158, ""(?:,| - )(.*)$"")), """"))"),"clear, OVER-THE-GLASSES (OTG), ANSI Z87.1 (12-pack)")</f>
        <v>clear, OVER-THE-GLASSES (OTG), ANSI Z87.1 (12-pack)</v>
      </c>
      <c r="H158" s="48" t="s">
        <v>2242</v>
      </c>
      <c r="I158" s="48" t="s">
        <v>157</v>
      </c>
      <c r="J158" s="48" t="s">
        <v>356</v>
      </c>
      <c r="K158" s="50">
        <v>23.7</v>
      </c>
      <c r="L158" s="51"/>
      <c r="M158" s="51">
        <v>0.0</v>
      </c>
      <c r="N158" s="51">
        <v>1.0</v>
      </c>
      <c r="O158" s="52" t="str">
        <f t="shared" si="3"/>
        <v/>
      </c>
      <c r="P158" s="53" t="str">
        <f t="shared" si="4"/>
        <v/>
      </c>
      <c r="Q158" s="51"/>
      <c r="R158" s="54">
        <v>46184.0</v>
      </c>
      <c r="S158" s="48" t="s">
        <v>2243</v>
      </c>
      <c r="T158" s="27"/>
      <c r="U158" s="27"/>
      <c r="V158" s="27"/>
      <c r="W158" s="27"/>
      <c r="X158" s="27"/>
      <c r="Y158" s="27"/>
      <c r="Z158" s="27"/>
      <c r="AA158" s="27"/>
      <c r="AB158" s="27"/>
    </row>
    <row r="159" ht="48.0" customHeight="1">
      <c r="A159" s="49" t="s">
        <v>2244</v>
      </c>
      <c r="B159" s="47" t="s">
        <v>1865</v>
      </c>
      <c r="C159" s="62" t="s">
        <v>2226</v>
      </c>
      <c r="D159" s="48" t="s">
        <v>2245</v>
      </c>
      <c r="E159" s="49" t="s">
        <v>2246</v>
      </c>
      <c r="F159" s="48" t="str">
        <f>IFERROR(__xludf.DUMMYFUNCTION("IF(D159="""","""",IFERROR(TRIM(REGEXEXTRACT(D159, ""^(.*?)(?:,| - )"")), D159))"),"Ear plugs")</f>
        <v>Ear plugs</v>
      </c>
      <c r="G159" s="48" t="str">
        <f>IFERROR(__xludf.DUMMYFUNCTION("IF(D159="""","""",IFERROR(TRIM(REGEXEXTRACT(D159, ""(?:,| - )(.*)$"")), """"))"),"disposable foam, uncorded, 33 NRR (bottle of 500 pair)")</f>
        <v>disposable foam, uncorded, 33 NRR (bottle of 500 pair)</v>
      </c>
      <c r="H159" s="48" t="s">
        <v>2247</v>
      </c>
      <c r="I159" s="48" t="s">
        <v>157</v>
      </c>
      <c r="J159" s="48" t="s">
        <v>2081</v>
      </c>
      <c r="K159" s="50">
        <v>56.99</v>
      </c>
      <c r="L159" s="51"/>
      <c r="M159" s="51">
        <v>0.0</v>
      </c>
      <c r="N159" s="51">
        <v>1.0</v>
      </c>
      <c r="O159" s="52" t="str">
        <f t="shared" si="3"/>
        <v/>
      </c>
      <c r="P159" s="53" t="str">
        <f t="shared" si="4"/>
        <v/>
      </c>
      <c r="Q159" s="51"/>
      <c r="R159" s="54">
        <v>46184.0</v>
      </c>
      <c r="S159" s="48" t="s">
        <v>2248</v>
      </c>
      <c r="T159" s="27"/>
      <c r="U159" s="27"/>
      <c r="V159" s="27"/>
      <c r="W159" s="27"/>
      <c r="X159" s="27"/>
      <c r="Y159" s="27"/>
      <c r="Z159" s="27"/>
      <c r="AA159" s="27"/>
      <c r="AB159" s="27"/>
    </row>
    <row r="160" ht="48.0" customHeight="1">
      <c r="A160" s="49" t="s">
        <v>2249</v>
      </c>
      <c r="B160" s="47" t="s">
        <v>1865</v>
      </c>
      <c r="C160" s="47" t="s">
        <v>2250</v>
      </c>
      <c r="D160" s="48" t="s">
        <v>2251</v>
      </c>
      <c r="E160" s="49" t="s">
        <v>2252</v>
      </c>
      <c r="F160" s="48" t="str">
        <f>IFERROR(__xludf.DUMMYFUNCTION("IF(D160="""","""",IFERROR(TRIM(REGEXEXTRACT(D160, ""^(.*?)(?:,| - )"")), D160))"),"Drill bit")</f>
        <v>Drill bit</v>
      </c>
      <c r="G160" s="48" t="str">
        <f>IFERROR(__xludf.DUMMYFUNCTION("IF(D160="""","""",IFERROR(TRIM(REGEXEXTRACT(D160, ""(?:,| - )(.*)$"")), """"))"),"5/16"", titanium nitride coated M2 HSS, hex shank (6-pack)")</f>
        <v>5/16", titanium nitride coated M2 HSS, hex shank (6-pack)</v>
      </c>
      <c r="H160" s="48" t="s">
        <v>2253</v>
      </c>
      <c r="I160" s="48" t="s">
        <v>157</v>
      </c>
      <c r="J160" s="48" t="s">
        <v>248</v>
      </c>
      <c r="K160" s="50">
        <v>22.86</v>
      </c>
      <c r="L160" s="51"/>
      <c r="M160" s="51">
        <v>1.0</v>
      </c>
      <c r="N160" s="51">
        <v>2.0</v>
      </c>
      <c r="O160" s="52" t="str">
        <f t="shared" si="3"/>
        <v/>
      </c>
      <c r="P160" s="53" t="str">
        <f t="shared" si="4"/>
        <v/>
      </c>
      <c r="Q160" s="51"/>
      <c r="R160" s="54">
        <v>46049.0</v>
      </c>
      <c r="S160" s="48" t="s">
        <v>2254</v>
      </c>
      <c r="T160" s="27"/>
      <c r="U160" s="27"/>
      <c r="V160" s="27"/>
      <c r="W160" s="27"/>
      <c r="X160" s="27"/>
      <c r="Y160" s="27"/>
      <c r="Z160" s="27"/>
      <c r="AA160" s="27"/>
      <c r="AB160" s="27"/>
    </row>
    <row r="161" ht="48.0" customHeight="1">
      <c r="A161" s="49" t="s">
        <v>2255</v>
      </c>
      <c r="B161" s="47" t="s">
        <v>1865</v>
      </c>
      <c r="C161" s="47" t="s">
        <v>2250</v>
      </c>
      <c r="D161" s="48" t="s">
        <v>625</v>
      </c>
      <c r="E161" s="49" t="s">
        <v>2256</v>
      </c>
      <c r="F161" s="48" t="str">
        <f>IFERROR(__xludf.DUMMYFUNCTION("IF(D161="""","""",IFERROR(TRIM(REGEXEXTRACT(D161, ""^(.*?)(?:,| - )"")), D161))"),"Pneumatic rivet nut gun (10-24")</f>
        <v>Pneumatic rivet nut gun (10-24</v>
      </c>
      <c r="G161" s="48" t="str">
        <f>IFERROR(__xludf.DUMMYFUNCTION("IF(D161="""","""",IFERROR(TRIM(REGEXEXTRACT(D161, ""(?:,| - )(.*)$"")), """"))"),"1/4, 5/16, 3/8)")</f>
        <v>1/4, 5/16, 3/8)</v>
      </c>
      <c r="H161" s="48" t="s">
        <v>2257</v>
      </c>
      <c r="I161" s="48" t="s">
        <v>157</v>
      </c>
      <c r="J161" s="48" t="s">
        <v>239</v>
      </c>
      <c r="K161" s="50">
        <v>150.88</v>
      </c>
      <c r="L161" s="51"/>
      <c r="M161" s="51">
        <v>0.0</v>
      </c>
      <c r="N161" s="51">
        <v>1.0</v>
      </c>
      <c r="O161" s="52" t="str">
        <f t="shared" si="3"/>
        <v/>
      </c>
      <c r="P161" s="53" t="str">
        <f t="shared" si="4"/>
        <v/>
      </c>
      <c r="Q161" s="51"/>
      <c r="R161" s="54"/>
      <c r="S161" s="48" t="s">
        <v>2258</v>
      </c>
      <c r="T161" s="27"/>
      <c r="U161" s="27"/>
      <c r="V161" s="27"/>
      <c r="W161" s="27"/>
      <c r="X161" s="27"/>
      <c r="Y161" s="27"/>
      <c r="Z161" s="27"/>
      <c r="AA161" s="27"/>
      <c r="AB161" s="27"/>
    </row>
    <row r="162" ht="48.0" customHeight="1">
      <c r="A162" s="49" t="s">
        <v>2259</v>
      </c>
      <c r="B162" s="47" t="s">
        <v>1865</v>
      </c>
      <c r="C162" s="47" t="s">
        <v>2250</v>
      </c>
      <c r="D162" s="48" t="s">
        <v>2260</v>
      </c>
      <c r="E162" s="49" t="s">
        <v>2261</v>
      </c>
      <c r="F162" s="48" t="str">
        <f>IFERROR(__xludf.DUMMYFUNCTION("IF(D162="""","""",IFERROR(TRIM(REGEXEXTRACT(D162, ""^(.*?)(?:,| - )"")), D162))"),"Steel Shot (blast media)")</f>
        <v>Steel Shot (blast media)</v>
      </c>
      <c r="G162" s="48" t="str">
        <f>IFERROR(__xludf.DUMMYFUNCTION("IF(D162="""","""",IFERROR(TRIM(REGEXEXTRACT(D162, ""(?:,| - )(.*)$"")), """"))"),"")</f>
        <v/>
      </c>
      <c r="H162" s="48"/>
      <c r="I162" s="48" t="s">
        <v>1954</v>
      </c>
      <c r="J162" s="48"/>
      <c r="K162" s="50"/>
      <c r="L162" s="51"/>
      <c r="M162" s="51"/>
      <c r="N162" s="51"/>
      <c r="O162" s="52" t="str">
        <f t="shared" si="3"/>
        <v/>
      </c>
      <c r="P162" s="53" t="str">
        <f t="shared" si="4"/>
        <v/>
      </c>
      <c r="Q162" s="51"/>
      <c r="R162" s="54"/>
      <c r="S162" s="48" t="s">
        <v>2262</v>
      </c>
      <c r="T162" s="27"/>
      <c r="U162" s="27"/>
      <c r="V162" s="27"/>
      <c r="W162" s="27"/>
      <c r="X162" s="27"/>
      <c r="Y162" s="27"/>
      <c r="Z162" s="27"/>
      <c r="AA162" s="27"/>
      <c r="AB162" s="27"/>
    </row>
    <row r="163" ht="48.0" customHeight="1">
      <c r="A163" s="49" t="s">
        <v>2263</v>
      </c>
      <c r="B163" s="47" t="s">
        <v>1865</v>
      </c>
      <c r="C163" s="47" t="s">
        <v>2250</v>
      </c>
      <c r="D163" s="48" t="s">
        <v>2264</v>
      </c>
      <c r="E163" s="49" t="s">
        <v>2265</v>
      </c>
      <c r="F163" s="48" t="str">
        <f>IFERROR(__xludf.DUMMYFUNCTION("IF(D163="""","""",IFERROR(TRIM(REGEXEXTRACT(D163, ""^(.*?)(?:,| - )"")), D163))"),"Rivet Nut 5/16-18 Round w/Knurl")</f>
        <v>Rivet Nut 5/16-18 Round w/Knurl</v>
      </c>
      <c r="G163" s="48" t="str">
        <f>IFERROR(__xludf.DUMMYFUNCTION("IF(D163="""","""",IFERROR(TRIM(REGEXEXTRACT(D163, ""(?:,| - )(.*)$"")), """"))"),"Flat Head, Open-End (Zinc Yellow)")</f>
        <v>Flat Head, Open-End (Zinc Yellow)</v>
      </c>
      <c r="H163" s="48" t="s">
        <v>596</v>
      </c>
      <c r="I163" s="48" t="s">
        <v>307</v>
      </c>
      <c r="J163" s="48" t="s">
        <v>239</v>
      </c>
      <c r="K163" s="50">
        <v>0.159</v>
      </c>
      <c r="L163" s="51"/>
      <c r="M163" s="51"/>
      <c r="N163" s="51"/>
      <c r="O163" s="52" t="str">
        <f t="shared" si="3"/>
        <v/>
      </c>
      <c r="P163" s="53" t="str">
        <f t="shared" si="4"/>
        <v/>
      </c>
      <c r="Q163" s="51"/>
      <c r="R163" s="54">
        <v>46239.0</v>
      </c>
      <c r="S163" s="48" t="s">
        <v>2266</v>
      </c>
      <c r="T163" s="27"/>
      <c r="U163" s="27"/>
      <c r="V163" s="27"/>
      <c r="W163" s="27"/>
      <c r="X163" s="27"/>
      <c r="Y163" s="27"/>
      <c r="Z163" s="27"/>
      <c r="AA163" s="27"/>
      <c r="AB163" s="27"/>
    </row>
    <row r="164" ht="48.0" customHeight="1">
      <c r="A164" s="49" t="s">
        <v>2267</v>
      </c>
      <c r="B164" s="47" t="s">
        <v>1865</v>
      </c>
      <c r="C164" s="47" t="s">
        <v>2250</v>
      </c>
      <c r="D164" s="48" t="s">
        <v>156</v>
      </c>
      <c r="E164" s="49" t="s">
        <v>2268</v>
      </c>
      <c r="F164" s="48" t="str">
        <f>IFERROR(__xludf.DUMMYFUNCTION("IF(D164="""","""",IFERROR(TRIM(REGEXEXTRACT(D164, ""^(.*?)(?:,| - )"")), D164))"),"Scuff pads")</f>
        <v>Scuff pads</v>
      </c>
      <c r="G164" s="48" t="str">
        <f>IFERROR(__xludf.DUMMYFUNCTION("IF(D164="""","""",IFERROR(TRIM(REGEXEXTRACT(D164, ""(?:,| - )(.*)$"")), """"))"),"maroon general purpose, 6"" x 9"" (10-pack)")</f>
        <v>maroon general purpose, 6" x 9" (10-pack)</v>
      </c>
      <c r="H164" s="48" t="s">
        <v>2269</v>
      </c>
      <c r="I164" s="48" t="s">
        <v>157</v>
      </c>
      <c r="J164" s="48" t="s">
        <v>158</v>
      </c>
      <c r="K164" s="50">
        <v>14.99</v>
      </c>
      <c r="L164" s="51"/>
      <c r="M164" s="51">
        <v>0.0</v>
      </c>
      <c r="N164" s="51">
        <v>2.0</v>
      </c>
      <c r="O164" s="52" t="str">
        <f t="shared" si="3"/>
        <v/>
      </c>
      <c r="P164" s="53" t="str">
        <f t="shared" si="4"/>
        <v/>
      </c>
      <c r="Q164" s="51"/>
      <c r="R164" s="54">
        <v>46209.0</v>
      </c>
      <c r="S164" s="48" t="s">
        <v>2270</v>
      </c>
      <c r="T164" s="27"/>
      <c r="U164" s="27"/>
      <c r="V164" s="27"/>
      <c r="W164" s="27"/>
      <c r="X164" s="27"/>
      <c r="Y164" s="27"/>
      <c r="Z164" s="27"/>
      <c r="AA164" s="27"/>
      <c r="AB164" s="27"/>
    </row>
    <row r="165" ht="48.0" customHeight="1">
      <c r="A165" s="49" t="s">
        <v>2271</v>
      </c>
      <c r="B165" s="47" t="s">
        <v>1865</v>
      </c>
      <c r="C165" s="47" t="s">
        <v>2272</v>
      </c>
      <c r="D165" s="48" t="s">
        <v>885</v>
      </c>
      <c r="E165" s="48" t="s">
        <v>885</v>
      </c>
      <c r="F165" s="48" t="str">
        <f>IFERROR(__xludf.DUMMYFUNCTION("IF(D165="""","""",IFERROR(TRIM(REGEXEXTRACT(D165, ""^(.*?)(?:,| - )"")), D165))"),"52FN GAS DIFFUSER")</f>
        <v>52FN GAS DIFFUSER</v>
      </c>
      <c r="G165" s="48" t="str">
        <f>IFERROR(__xludf.DUMMYFUNCTION("IF(D165="""","""",IFERROR(TRIM(REGEXEXTRACT(D165, ""(?:,| - )(.*)$"")), """"))"),"")</f>
        <v/>
      </c>
      <c r="H165" s="48" t="s">
        <v>886</v>
      </c>
      <c r="I165" s="48" t="s">
        <v>366</v>
      </c>
      <c r="J165" s="48" t="s">
        <v>239</v>
      </c>
      <c r="K165" s="50">
        <v>6.62</v>
      </c>
      <c r="L165" s="51"/>
      <c r="M165" s="51"/>
      <c r="N165" s="51"/>
      <c r="O165" s="52" t="str">
        <f t="shared" si="3"/>
        <v/>
      </c>
      <c r="P165" s="53" t="str">
        <f t="shared" si="4"/>
        <v/>
      </c>
      <c r="Q165" s="51"/>
      <c r="R165" s="54">
        <v>45786.0</v>
      </c>
      <c r="S165" s="48" t="s">
        <v>2273</v>
      </c>
      <c r="T165" s="27"/>
      <c r="U165" s="27"/>
      <c r="V165" s="27"/>
      <c r="W165" s="27"/>
      <c r="X165" s="27"/>
      <c r="Y165" s="27"/>
      <c r="Z165" s="27"/>
      <c r="AA165" s="27"/>
      <c r="AB165" s="27"/>
    </row>
    <row r="166" ht="48.0" customHeight="1">
      <c r="A166" s="49" t="s">
        <v>2274</v>
      </c>
      <c r="B166" s="47" t="s">
        <v>1865</v>
      </c>
      <c r="C166" s="47" t="s">
        <v>2272</v>
      </c>
      <c r="D166" s="48" t="s">
        <v>648</v>
      </c>
      <c r="E166" s="48" t="s">
        <v>648</v>
      </c>
      <c r="F166" s="48" t="str">
        <f>IFERROR(__xludf.DUMMYFUNCTION("IF(D166="""","""",IFERROR(TRIM(REGEXEXTRACT(D166, ""^(.*?)(?:,| - )"")), D166))"),"ARGON 75% CO2 25% 250")</f>
        <v>ARGON 75% CO2 25% 250</v>
      </c>
      <c r="G166" s="48" t="str">
        <f>IFERROR(__xludf.DUMMYFUNCTION("IF(D166="""","""",IFERROR(TRIM(REGEXEXTRACT(D166, ""(?:,| - )(.*)$"")), """"))"),"")</f>
        <v/>
      </c>
      <c r="H166" s="48" t="s">
        <v>788</v>
      </c>
      <c r="I166" s="48" t="s">
        <v>366</v>
      </c>
      <c r="J166" s="48" t="s">
        <v>650</v>
      </c>
      <c r="K166" s="50">
        <v>60.5</v>
      </c>
      <c r="L166" s="51"/>
      <c r="M166" s="51"/>
      <c r="N166" s="51"/>
      <c r="O166" s="52" t="str">
        <f t="shared" si="3"/>
        <v/>
      </c>
      <c r="P166" s="53" t="str">
        <f t="shared" si="4"/>
        <v/>
      </c>
      <c r="Q166" s="51"/>
      <c r="R166" s="54">
        <v>45750.0</v>
      </c>
      <c r="S166" s="48" t="s">
        <v>2275</v>
      </c>
      <c r="T166" s="27"/>
      <c r="U166" s="27"/>
      <c r="V166" s="27"/>
      <c r="W166" s="27"/>
      <c r="X166" s="27"/>
      <c r="Y166" s="27"/>
      <c r="Z166" s="27"/>
      <c r="AA166" s="27"/>
      <c r="AB166" s="27"/>
    </row>
    <row r="167" ht="48.0" customHeight="1">
      <c r="A167" s="49" t="s">
        <v>2276</v>
      </c>
      <c r="B167" s="47" t="s">
        <v>1865</v>
      </c>
      <c r="C167" s="47" t="s">
        <v>2272</v>
      </c>
      <c r="D167" s="48" t="s">
        <v>832</v>
      </c>
      <c r="E167" s="48" t="s">
        <v>832</v>
      </c>
      <c r="F167" s="48" t="str">
        <f>IFERROR(__xludf.DUMMYFUNCTION("IF(D167="""","""",IFERROR(TRIM(REGEXEXTRACT(D167, ""^(.*?)(?:,| - )"")), D167))"),"CONTACT TIP .035 MILLER")</f>
        <v>CONTACT TIP .035 MILLER</v>
      </c>
      <c r="G167" s="48" t="str">
        <f>IFERROR(__xludf.DUMMYFUNCTION("IF(D167="""","""",IFERROR(TRIM(REGEXEXTRACT(D167, ""(?:,| - )(.*)$"")), """"))"),"")</f>
        <v/>
      </c>
      <c r="H167" s="48" t="s">
        <v>833</v>
      </c>
      <c r="I167" s="48" t="s">
        <v>366</v>
      </c>
      <c r="J167" s="48" t="s">
        <v>239</v>
      </c>
      <c r="K167" s="50">
        <v>1.45</v>
      </c>
      <c r="L167" s="51"/>
      <c r="M167" s="51"/>
      <c r="N167" s="51"/>
      <c r="O167" s="52" t="str">
        <f t="shared" si="3"/>
        <v/>
      </c>
      <c r="P167" s="53" t="str">
        <f t="shared" si="4"/>
        <v/>
      </c>
      <c r="Q167" s="51"/>
      <c r="R167" s="54">
        <v>45758.0</v>
      </c>
      <c r="S167" s="48" t="s">
        <v>2273</v>
      </c>
      <c r="T167" s="27"/>
      <c r="U167" s="27"/>
      <c r="V167" s="27"/>
      <c r="W167" s="27"/>
      <c r="X167" s="27"/>
      <c r="Y167" s="27"/>
      <c r="Z167" s="27"/>
      <c r="AA167" s="27"/>
      <c r="AB167" s="27"/>
    </row>
    <row r="168" ht="48.0" customHeight="1">
      <c r="A168" s="49" t="s">
        <v>2277</v>
      </c>
      <c r="B168" s="47" t="s">
        <v>1865</v>
      </c>
      <c r="C168" s="47" t="s">
        <v>2272</v>
      </c>
      <c r="D168" s="48" t="s">
        <v>640</v>
      </c>
      <c r="E168" s="48" t="s">
        <v>640</v>
      </c>
      <c r="F168" s="48" t="str">
        <f>IFERROR(__xludf.DUMMYFUNCTION("IF(D168="""","""",IFERROR(TRIM(REGEXEXTRACT(D168, ""^(.*?)(?:,| - )"")), D168))"),"E70S-6 .035 X 33# WELDING WIRE SPOOL")</f>
        <v>E70S-6 .035 X 33# WELDING WIRE SPOOL</v>
      </c>
      <c r="G168" s="48" t="str">
        <f>IFERROR(__xludf.DUMMYFUNCTION("IF(D168="""","""",IFERROR(TRIM(REGEXEXTRACT(D168, ""(?:,| - )(.*)$"")), """"))"),"")</f>
        <v/>
      </c>
      <c r="H168" s="48" t="s">
        <v>780</v>
      </c>
      <c r="I168" s="48" t="s">
        <v>366</v>
      </c>
      <c r="J168" s="48" t="s">
        <v>641</v>
      </c>
      <c r="K168" s="50">
        <v>1.89</v>
      </c>
      <c r="L168" s="51"/>
      <c r="M168" s="51"/>
      <c r="N168" s="51"/>
      <c r="O168" s="52" t="str">
        <f t="shared" si="3"/>
        <v/>
      </c>
      <c r="P168" s="53" t="str">
        <f t="shared" si="4"/>
        <v/>
      </c>
      <c r="Q168" s="51"/>
      <c r="R168" s="54">
        <v>45796.0</v>
      </c>
      <c r="S168" s="48" t="s">
        <v>2273</v>
      </c>
      <c r="T168" s="27"/>
      <c r="U168" s="27"/>
      <c r="V168" s="27"/>
      <c r="W168" s="27"/>
      <c r="X168" s="27"/>
      <c r="Y168" s="27"/>
      <c r="Z168" s="27"/>
      <c r="AA168" s="27"/>
      <c r="AB168" s="27"/>
    </row>
    <row r="169" ht="48.0" customHeight="1">
      <c r="A169" s="49" t="s">
        <v>2278</v>
      </c>
      <c r="B169" s="47" t="s">
        <v>1865</v>
      </c>
      <c r="C169" s="47" t="s">
        <v>2272</v>
      </c>
      <c r="D169" s="48" t="s">
        <v>663</v>
      </c>
      <c r="E169" s="48" t="s">
        <v>663</v>
      </c>
      <c r="F169" s="48" t="str">
        <f>IFERROR(__xludf.DUMMYFUNCTION("IF(D169="""","""",IFERROR(TRIM(REGEXEXTRACT(D169, ""^(.*?)(?:,| - )"")), D169))"),"INSIDE COVER LENS 6X5-5/8 5/PKG")</f>
        <v>INSIDE COVER LENS 6X5-5/8 5/PKG</v>
      </c>
      <c r="G169" s="48" t="str">
        <f>IFERROR(__xludf.DUMMYFUNCTION("IF(D169="""","""",IFERROR(TRIM(REGEXEXTRACT(D169, ""(?:,| - )(.*)$"")), """"))"),"")</f>
        <v/>
      </c>
      <c r="H169" s="48" t="s">
        <v>850</v>
      </c>
      <c r="I169" s="48" t="s">
        <v>366</v>
      </c>
      <c r="J169" s="48" t="s">
        <v>656</v>
      </c>
      <c r="K169" s="50">
        <v>11.38</v>
      </c>
      <c r="L169" s="51"/>
      <c r="M169" s="51"/>
      <c r="N169" s="51"/>
      <c r="O169" s="52" t="str">
        <f t="shared" si="3"/>
        <v/>
      </c>
      <c r="P169" s="53" t="str">
        <f t="shared" si="4"/>
        <v/>
      </c>
      <c r="Q169" s="51"/>
      <c r="R169" s="54">
        <v>45786.0</v>
      </c>
      <c r="S169" s="48" t="s">
        <v>2273</v>
      </c>
      <c r="T169" s="27"/>
      <c r="U169" s="27"/>
      <c r="V169" s="27"/>
      <c r="W169" s="27"/>
      <c r="X169" s="27"/>
      <c r="Y169" s="27"/>
      <c r="Z169" s="27"/>
      <c r="AA169" s="27"/>
      <c r="AB169" s="27"/>
    </row>
    <row r="170" ht="48.0" customHeight="1">
      <c r="A170" s="49" t="s">
        <v>2279</v>
      </c>
      <c r="B170" s="47" t="s">
        <v>1865</v>
      </c>
      <c r="C170" s="47" t="s">
        <v>2272</v>
      </c>
      <c r="D170" s="48" t="s">
        <v>839</v>
      </c>
      <c r="E170" s="48" t="s">
        <v>839</v>
      </c>
      <c r="F170" s="48" t="str">
        <f>IFERROR(__xludf.DUMMYFUNCTION("IF(D170="""","""",IFERROR(TRIM(REGEXEXTRACT(D170, ""^(.*?)(?:,| - )"")), D170))"),"LINER .030-.035 15ft MDX")</f>
        <v>LINER .030-.035 15ft MDX</v>
      </c>
      <c r="G170" s="48" t="str">
        <f>IFERROR(__xludf.DUMMYFUNCTION("IF(D170="""","""",IFERROR(TRIM(REGEXEXTRACT(D170, ""(?:,| - )(.*)$"")), """"))"),"")</f>
        <v/>
      </c>
      <c r="H170" s="48" t="s">
        <v>840</v>
      </c>
      <c r="I170" s="48" t="s">
        <v>366</v>
      </c>
      <c r="J170" s="48" t="s">
        <v>239</v>
      </c>
      <c r="K170" s="50">
        <v>35.14</v>
      </c>
      <c r="L170" s="51"/>
      <c r="M170" s="51"/>
      <c r="N170" s="51"/>
      <c r="O170" s="52" t="str">
        <f t="shared" si="3"/>
        <v/>
      </c>
      <c r="P170" s="53" t="str">
        <f t="shared" si="4"/>
        <v/>
      </c>
      <c r="Q170" s="51"/>
      <c r="R170" s="54">
        <v>45758.0</v>
      </c>
      <c r="S170" s="48" t="s">
        <v>2273</v>
      </c>
      <c r="T170" s="27"/>
      <c r="U170" s="27"/>
      <c r="V170" s="27"/>
      <c r="W170" s="27"/>
      <c r="X170" s="27"/>
      <c r="Y170" s="27"/>
      <c r="Z170" s="27"/>
      <c r="AA170" s="27"/>
      <c r="AB170" s="27"/>
    </row>
    <row r="171" ht="48.0" customHeight="1">
      <c r="A171" s="49" t="s">
        <v>2280</v>
      </c>
      <c r="B171" s="47" t="s">
        <v>1865</v>
      </c>
      <c r="C171" s="47" t="s">
        <v>2272</v>
      </c>
      <c r="D171" s="48" t="s">
        <v>827</v>
      </c>
      <c r="E171" s="48" t="s">
        <v>827</v>
      </c>
      <c r="F171" s="48" t="str">
        <f>IFERROR(__xludf.DUMMYFUNCTION("IF(D171="""","""",IFERROR(TRIM(REGEXEXTRACT(D171, ""^(.*?)(?:,| - )"")), D171))"),"LINER 42-3035-15 .030-.035 15ft PRO-IWD")</f>
        <v>LINER 42-3035-15 .030-.035 15ft PRO-IWD</v>
      </c>
      <c r="G171" s="48" t="str">
        <f>IFERROR(__xludf.DUMMYFUNCTION("IF(D171="""","""",IFERROR(TRIM(REGEXEXTRACT(D171, ""(?:,| - )(.*)$"")), """"))"),"")</f>
        <v/>
      </c>
      <c r="H171" s="48" t="s">
        <v>828</v>
      </c>
      <c r="I171" s="48" t="s">
        <v>366</v>
      </c>
      <c r="J171" s="48" t="s">
        <v>239</v>
      </c>
      <c r="K171" s="50">
        <v>17.9</v>
      </c>
      <c r="L171" s="51"/>
      <c r="M171" s="51"/>
      <c r="N171" s="51"/>
      <c r="O171" s="52" t="str">
        <f t="shared" si="3"/>
        <v/>
      </c>
      <c r="P171" s="53" t="str">
        <f t="shared" si="4"/>
        <v/>
      </c>
      <c r="Q171" s="51"/>
      <c r="R171" s="54">
        <v>45758.0</v>
      </c>
      <c r="S171" s="48" t="s">
        <v>2273</v>
      </c>
      <c r="T171" s="27"/>
      <c r="U171" s="27"/>
      <c r="V171" s="27"/>
      <c r="W171" s="27"/>
      <c r="X171" s="27"/>
      <c r="Y171" s="27"/>
      <c r="Z171" s="27"/>
      <c r="AA171" s="27"/>
      <c r="AB171" s="27"/>
    </row>
    <row r="172" ht="48.0" customHeight="1">
      <c r="A172" s="49" t="s">
        <v>2281</v>
      </c>
      <c r="B172" s="47" t="s">
        <v>1865</v>
      </c>
      <c r="C172" s="47" t="s">
        <v>2272</v>
      </c>
      <c r="D172" s="48" t="s">
        <v>676</v>
      </c>
      <c r="E172" s="48" t="s">
        <v>676</v>
      </c>
      <c r="F172" s="48" t="str">
        <f>IFERROR(__xludf.DUMMYFUNCTION("IF(D172="""","""",IFERROR(TRIM(REGEXEXTRACT(D172, ""^(.*?)(?:,| - )"")), D172))"),"MILLER N-5818C NOZZLE")</f>
        <v>MILLER N-5818C NOZZLE</v>
      </c>
      <c r="G172" s="48" t="str">
        <f>IFERROR(__xludf.DUMMYFUNCTION("IF(D172="""","""",IFERROR(TRIM(REGEXEXTRACT(D172, ""(?:,| - )(.*)$"")), """"))"),"")</f>
        <v/>
      </c>
      <c r="H172" s="48" t="s">
        <v>924</v>
      </c>
      <c r="I172" s="48" t="s">
        <v>366</v>
      </c>
      <c r="J172" s="48" t="s">
        <v>239</v>
      </c>
      <c r="K172" s="50">
        <v>27.27</v>
      </c>
      <c r="L172" s="51"/>
      <c r="M172" s="51"/>
      <c r="N172" s="51"/>
      <c r="O172" s="52" t="str">
        <f t="shared" si="3"/>
        <v/>
      </c>
      <c r="P172" s="53" t="str">
        <f t="shared" si="4"/>
        <v/>
      </c>
      <c r="Q172" s="51"/>
      <c r="R172" s="54">
        <v>45825.0</v>
      </c>
      <c r="S172" s="48" t="s">
        <v>2273</v>
      </c>
      <c r="T172" s="27"/>
      <c r="U172" s="27"/>
      <c r="V172" s="27"/>
      <c r="W172" s="27"/>
      <c r="X172" s="27"/>
      <c r="Y172" s="27"/>
      <c r="Z172" s="27"/>
      <c r="AA172" s="27"/>
      <c r="AB172" s="27"/>
    </row>
    <row r="173" ht="48.0" customHeight="1">
      <c r="A173" s="49" t="s">
        <v>2282</v>
      </c>
      <c r="B173" s="47" t="s">
        <v>1865</v>
      </c>
      <c r="C173" s="47" t="s">
        <v>2272</v>
      </c>
      <c r="D173" s="48" t="s">
        <v>802</v>
      </c>
      <c r="E173" s="48" t="s">
        <v>802</v>
      </c>
      <c r="F173" s="48" t="str">
        <f>IFERROR(__xludf.DUMMYFUNCTION("IF(D173="""","""",IFERROR(TRIM(REGEXEXTRACT(D173, ""^(.*?)(?:,| - )"")), D173))"),"MILLER SHOCK WASHER")</f>
        <v>MILLER SHOCK WASHER</v>
      </c>
      <c r="G173" s="48" t="str">
        <f>IFERROR(__xludf.DUMMYFUNCTION("IF(D173="""","""",IFERROR(TRIM(REGEXEXTRACT(D173, ""(?:,| - )(.*)$"")), """"))"),"")</f>
        <v/>
      </c>
      <c r="H173" s="48" t="s">
        <v>803</v>
      </c>
      <c r="I173" s="48" t="s">
        <v>366</v>
      </c>
      <c r="J173" s="48" t="s">
        <v>239</v>
      </c>
      <c r="K173" s="50">
        <v>1.93</v>
      </c>
      <c r="L173" s="51"/>
      <c r="M173" s="51"/>
      <c r="N173" s="51"/>
      <c r="O173" s="52" t="str">
        <f t="shared" si="3"/>
        <v/>
      </c>
      <c r="P173" s="53" t="str">
        <f t="shared" si="4"/>
        <v/>
      </c>
      <c r="Q173" s="51"/>
      <c r="R173" s="54">
        <v>45751.0</v>
      </c>
      <c r="S173" s="48" t="s">
        <v>2273</v>
      </c>
      <c r="T173" s="27"/>
      <c r="U173" s="27"/>
      <c r="V173" s="27"/>
      <c r="W173" s="27"/>
      <c r="X173" s="27"/>
      <c r="Y173" s="27"/>
      <c r="Z173" s="27"/>
      <c r="AA173" s="27"/>
      <c r="AB173" s="27"/>
    </row>
    <row r="174" ht="48.0" customHeight="1">
      <c r="A174" s="49" t="s">
        <v>2283</v>
      </c>
      <c r="B174" s="47" t="s">
        <v>1865</v>
      </c>
      <c r="C174" s="47" t="s">
        <v>2272</v>
      </c>
      <c r="D174" s="48" t="s">
        <v>655</v>
      </c>
      <c r="E174" s="48" t="s">
        <v>655</v>
      </c>
      <c r="F174" s="48" t="str">
        <f>IFERROR(__xludf.DUMMYFUNCTION("IF(D174="""","""",IFERROR(TRIM(REGEXEXTRACT(D174, ""^(.*?)(?:,| - )"")), D174))"),"OUTSIDE COVER LENS 4-3/4X3-1/4 5/PKG")</f>
        <v>OUTSIDE COVER LENS 4-3/4X3-1/4 5/PKG</v>
      </c>
      <c r="G174" s="48" t="str">
        <f>IFERROR(__xludf.DUMMYFUNCTION("IF(D174="""","""",IFERROR(TRIM(REGEXEXTRACT(D174, ""(?:,| - )(.*)$"")), """"))"),"")</f>
        <v/>
      </c>
      <c r="H174" s="48" t="s">
        <v>845</v>
      </c>
      <c r="I174" s="48" t="s">
        <v>366</v>
      </c>
      <c r="J174" s="48" t="s">
        <v>656</v>
      </c>
      <c r="K174" s="50">
        <v>17.5</v>
      </c>
      <c r="L174" s="51"/>
      <c r="M174" s="51"/>
      <c r="N174" s="51"/>
      <c r="O174" s="52" t="str">
        <f t="shared" si="3"/>
        <v/>
      </c>
      <c r="P174" s="53" t="str">
        <f t="shared" si="4"/>
        <v/>
      </c>
      <c r="Q174" s="51"/>
      <c r="R174" s="54">
        <v>45786.0</v>
      </c>
      <c r="S174" s="48" t="s">
        <v>2273</v>
      </c>
      <c r="T174" s="27"/>
      <c r="U174" s="27"/>
      <c r="V174" s="27"/>
      <c r="W174" s="27"/>
      <c r="X174" s="27"/>
      <c r="Y174" s="27"/>
      <c r="Z174" s="27"/>
      <c r="AA174" s="27"/>
      <c r="AB174" s="27"/>
    </row>
    <row r="175" ht="48.0" customHeight="1">
      <c r="A175" s="49" t="s">
        <v>2284</v>
      </c>
      <c r="B175" s="47" t="s">
        <v>1865</v>
      </c>
      <c r="C175" s="47" t="s">
        <v>2272</v>
      </c>
      <c r="D175" s="48" t="s">
        <v>717</v>
      </c>
      <c r="E175" s="48" t="s">
        <v>717</v>
      </c>
      <c r="F175" s="48" t="str">
        <f>IFERROR(__xludf.DUMMYFUNCTION("IF(D175="""","""",IFERROR(TRIM(REGEXEXTRACT(D175, ""^(.*?)(?:,| - )"")), D175))"),"TWECO 23-62 NOZZLE 5/8")</f>
        <v>TWECO 23-62 NOZZLE 5/8</v>
      </c>
      <c r="G175" s="48" t="str">
        <f>IFERROR(__xludf.DUMMYFUNCTION("IF(D175="""","""",IFERROR(TRIM(REGEXEXTRACT(D175, ""(?:,| - )(.*)$"")), """"))"),"")</f>
        <v/>
      </c>
      <c r="H175" s="48" t="s">
        <v>883</v>
      </c>
      <c r="I175" s="48" t="s">
        <v>366</v>
      </c>
      <c r="J175" s="48" t="s">
        <v>239</v>
      </c>
      <c r="K175" s="50">
        <v>10.78</v>
      </c>
      <c r="L175" s="51"/>
      <c r="M175" s="51"/>
      <c r="N175" s="51"/>
      <c r="O175" s="52" t="str">
        <f t="shared" si="3"/>
        <v/>
      </c>
      <c r="P175" s="53" t="str">
        <f t="shared" si="4"/>
        <v/>
      </c>
      <c r="Q175" s="51"/>
      <c r="R175" s="54">
        <v>45786.0</v>
      </c>
      <c r="S175" s="48" t="s">
        <v>2273</v>
      </c>
      <c r="T175" s="27"/>
      <c r="U175" s="27"/>
      <c r="V175" s="27"/>
      <c r="W175" s="27"/>
      <c r="X175" s="27"/>
      <c r="Y175" s="27"/>
      <c r="Z175" s="27"/>
      <c r="AA175" s="27"/>
      <c r="AB175" s="27"/>
    </row>
    <row r="176" ht="48.0" customHeight="1">
      <c r="A176" s="49" t="s">
        <v>2285</v>
      </c>
      <c r="B176" s="47" t="s">
        <v>1865</v>
      </c>
      <c r="C176" s="47" t="s">
        <v>2272</v>
      </c>
      <c r="D176" s="48" t="s">
        <v>632</v>
      </c>
      <c r="E176" s="49" t="s">
        <v>2286</v>
      </c>
      <c r="F176" s="48" t="str">
        <f>IFERROR(__xludf.DUMMYFUNCTION("IF(D176="""","""",IFERROR(TRIM(REGEXEXTRACT(D176, ""^(.*?)(?:,| - )"")), D176))"),"Tape measure")</f>
        <v>Tape measure</v>
      </c>
      <c r="G176" s="48" t="str">
        <f>IFERROR(__xludf.DUMMYFUNCTION("IF(D176="""","""",IFERROR(TRIM(REGEXEXTRACT(D176, ""(?:,| - )(.*)$"")), """"))"),"magnetic, 25 ft x 1.83"" (2-pack)")</f>
        <v>magnetic, 25 ft x 1.83" (2-pack)</v>
      </c>
      <c r="H176" s="48" t="s">
        <v>2287</v>
      </c>
      <c r="I176" s="48" t="s">
        <v>157</v>
      </c>
      <c r="J176" s="48" t="s">
        <v>618</v>
      </c>
      <c r="K176" s="50">
        <v>52.89</v>
      </c>
      <c r="L176" s="51"/>
      <c r="M176" s="51">
        <v>0.0</v>
      </c>
      <c r="N176" s="51">
        <v>2.0</v>
      </c>
      <c r="O176" s="52" t="str">
        <f t="shared" si="3"/>
        <v/>
      </c>
      <c r="P176" s="53" t="str">
        <f t="shared" si="4"/>
        <v/>
      </c>
      <c r="Q176" s="51"/>
      <c r="R176" s="54">
        <v>46238.0</v>
      </c>
      <c r="S176" s="48" t="s">
        <v>2288</v>
      </c>
      <c r="T176" s="27"/>
      <c r="U176" s="27"/>
      <c r="V176" s="27"/>
      <c r="W176" s="27"/>
      <c r="X176" s="27"/>
      <c r="Y176" s="27"/>
      <c r="Z176" s="27"/>
      <c r="AA176" s="27"/>
      <c r="AB176" s="27"/>
    </row>
    <row r="177" ht="48.0" customHeight="1">
      <c r="A177" s="49" t="s">
        <v>2289</v>
      </c>
      <c r="B177" s="47" t="s">
        <v>1865</v>
      </c>
      <c r="C177" s="47" t="s">
        <v>2272</v>
      </c>
      <c r="D177" s="48" t="s">
        <v>816</v>
      </c>
      <c r="E177" s="49" t="s">
        <v>2290</v>
      </c>
      <c r="F177" s="48" t="str">
        <f>IFERROR(__xludf.DUMMYFUNCTION("IF(D177="""","""",IFERROR(TRIM(REGEXEXTRACT(D177, ""^(.*?)(?:,| - )"")), D177))"),"TRU 3025 DRIVERS GLOVES LARGE")</f>
        <v>TRU 3025 DRIVERS GLOVES LARGE</v>
      </c>
      <c r="G177" s="48" t="str">
        <f>IFERROR(__xludf.DUMMYFUNCTION("IF(D177="""","""",IFERROR(TRIM(REGEXEXTRACT(D177, ""(?:,| - )(.*)$"")), """"))"),"")</f>
        <v/>
      </c>
      <c r="H177" s="48" t="s">
        <v>817</v>
      </c>
      <c r="I177" s="48" t="s">
        <v>366</v>
      </c>
      <c r="J177" s="48" t="s">
        <v>2291</v>
      </c>
      <c r="K177" s="50">
        <v>5.14</v>
      </c>
      <c r="L177" s="51"/>
      <c r="M177" s="51"/>
      <c r="N177" s="51"/>
      <c r="O177" s="52" t="str">
        <f t="shared" si="3"/>
        <v/>
      </c>
      <c r="P177" s="53" t="str">
        <f t="shared" si="4"/>
        <v/>
      </c>
      <c r="Q177" s="51"/>
      <c r="R177" s="54">
        <v>45757.0</v>
      </c>
      <c r="S177" s="48" t="s">
        <v>2273</v>
      </c>
      <c r="T177" s="27"/>
      <c r="U177" s="27"/>
      <c r="V177" s="27"/>
      <c r="W177" s="27"/>
      <c r="X177" s="27"/>
      <c r="Y177" s="27"/>
      <c r="Z177" s="27"/>
      <c r="AA177" s="27"/>
      <c r="AB177" s="27"/>
    </row>
    <row r="178" ht="48.0" customHeight="1">
      <c r="A178" s="49" t="s">
        <v>2292</v>
      </c>
      <c r="B178" s="47" t="s">
        <v>1865</v>
      </c>
      <c r="C178" s="47" t="s">
        <v>2272</v>
      </c>
      <c r="D178" s="48" t="s">
        <v>810</v>
      </c>
      <c r="E178" s="49" t="s">
        <v>2293</v>
      </c>
      <c r="F178" s="48" t="str">
        <f>IFERROR(__xludf.DUMMYFUNCTION("IF(D178="""","""",IFERROR(TRIM(REGEXEXTRACT(D178, ""^(.*?)(?:,| - )"")), D178))"),"TRU 3025 DRIVERS GLOVES MEDIUM")</f>
        <v>TRU 3025 DRIVERS GLOVES MEDIUM</v>
      </c>
      <c r="G178" s="48" t="str">
        <f>IFERROR(__xludf.DUMMYFUNCTION("IF(D178="""","""",IFERROR(TRIM(REGEXEXTRACT(D178, ""(?:,| - )(.*)$"")), """"))"),"")</f>
        <v/>
      </c>
      <c r="H178" s="48" t="s">
        <v>811</v>
      </c>
      <c r="I178" s="48" t="s">
        <v>366</v>
      </c>
      <c r="J178" s="48" t="s">
        <v>2291</v>
      </c>
      <c r="K178" s="50">
        <v>5.14</v>
      </c>
      <c r="L178" s="51"/>
      <c r="M178" s="51"/>
      <c r="N178" s="51"/>
      <c r="O178" s="52" t="str">
        <f t="shared" si="3"/>
        <v/>
      </c>
      <c r="P178" s="53" t="str">
        <f t="shared" si="4"/>
        <v/>
      </c>
      <c r="Q178" s="51"/>
      <c r="R178" s="54">
        <v>45757.0</v>
      </c>
      <c r="S178" s="48" t="s">
        <v>2273</v>
      </c>
      <c r="T178" s="27"/>
      <c r="U178" s="27"/>
      <c r="V178" s="27"/>
      <c r="W178" s="27"/>
      <c r="X178" s="27"/>
      <c r="Y178" s="27"/>
      <c r="Z178" s="27"/>
      <c r="AA178" s="27"/>
      <c r="AB178" s="27"/>
    </row>
    <row r="179" ht="48.0" customHeight="1">
      <c r="A179" s="49" t="s">
        <v>2294</v>
      </c>
      <c r="B179" s="47" t="s">
        <v>1865</v>
      </c>
      <c r="C179" s="47" t="s">
        <v>2272</v>
      </c>
      <c r="D179" s="48" t="s">
        <v>2295</v>
      </c>
      <c r="E179" s="49" t="s">
        <v>2231</v>
      </c>
      <c r="F179" s="48" t="str">
        <f>IFERROR(__xludf.DUMMYFUNCTION("IF(D179="""","""",IFERROR(TRIM(REGEXEXTRACT(D179, ""^(.*?)(?:,| - )"")), D179))"),"Half mask respirator")</f>
        <v>Half mask respirator</v>
      </c>
      <c r="G179" s="48" t="str">
        <f>IFERROR(__xludf.DUMMYFUNCTION("IF(D179="""","""",IFERROR(TRIM(REGEXEXTRACT(D179, ""(?:,| - )(.*)$"")), """"))"),"welding, P100 with odor relief, size M/L")</f>
        <v>welding, P100 with odor relief, size M/L</v>
      </c>
      <c r="H179" s="48" t="s">
        <v>2296</v>
      </c>
      <c r="I179" s="48" t="s">
        <v>157</v>
      </c>
      <c r="J179" s="48" t="s">
        <v>239</v>
      </c>
      <c r="K179" s="50">
        <v>67.89</v>
      </c>
      <c r="L179" s="51"/>
      <c r="M179" s="51">
        <v>0.0</v>
      </c>
      <c r="N179" s="51">
        <v>1.0</v>
      </c>
      <c r="O179" s="52" t="str">
        <f t="shared" si="3"/>
        <v/>
      </c>
      <c r="P179" s="53" t="str">
        <f t="shared" si="4"/>
        <v/>
      </c>
      <c r="Q179" s="51"/>
      <c r="R179" s="54">
        <v>46125.0</v>
      </c>
      <c r="S179" s="48" t="s">
        <v>2297</v>
      </c>
      <c r="T179" s="27"/>
      <c r="U179" s="27"/>
      <c r="V179" s="27"/>
      <c r="W179" s="27"/>
      <c r="X179" s="27"/>
      <c r="Y179" s="27"/>
      <c r="Z179" s="27"/>
      <c r="AA179" s="27"/>
      <c r="AB179" s="27"/>
    </row>
    <row r="180" ht="48.0" customHeight="1">
      <c r="A180" s="49" t="s">
        <v>2298</v>
      </c>
      <c r="B180" s="47" t="s">
        <v>1865</v>
      </c>
      <c r="C180" s="47" t="s">
        <v>2272</v>
      </c>
      <c r="D180" s="48" t="s">
        <v>2299</v>
      </c>
      <c r="E180" s="49" t="s">
        <v>2300</v>
      </c>
      <c r="F180" s="48" t="str">
        <f>IFERROR(__xludf.DUMMYFUNCTION("IF(D180="""","""",IFERROR(TRIM(REGEXEXTRACT(D180, ""^(.*?)(?:,| - )"")), D180))"),"Bullet hinge")</f>
        <v>Bullet hinge</v>
      </c>
      <c r="G180" s="48" t="str">
        <f>IFERROR(__xludf.DUMMYFUNCTION("IF(D180="""","""",IFERROR(TRIM(REGEXEXTRACT(D180, ""(?:,| - )(.*)$"")), """"))"),"weld-on, 4"" aluminum, stainless bushing &amp; pin, Zerk grease fitting (20-pack)")</f>
        <v>weld-on, 4" aluminum, stainless bushing &amp; pin, Zerk grease fitting (20-pack)</v>
      </c>
      <c r="H180" s="48" t="s">
        <v>2301</v>
      </c>
      <c r="I180" s="48" t="s">
        <v>157</v>
      </c>
      <c r="J180" s="48" t="s">
        <v>475</v>
      </c>
      <c r="K180" s="50">
        <v>115.64</v>
      </c>
      <c r="L180" s="51"/>
      <c r="M180" s="51">
        <v>0.0</v>
      </c>
      <c r="N180" s="51">
        <v>1.0</v>
      </c>
      <c r="O180" s="52" t="str">
        <f t="shared" si="3"/>
        <v/>
      </c>
      <c r="P180" s="53" t="str">
        <f t="shared" si="4"/>
        <v/>
      </c>
      <c r="Q180" s="51"/>
      <c r="R180" s="54">
        <v>46212.0</v>
      </c>
      <c r="S180" s="48" t="s">
        <v>2302</v>
      </c>
      <c r="T180" s="27"/>
      <c r="U180" s="27"/>
      <c r="V180" s="27"/>
      <c r="W180" s="27"/>
      <c r="X180" s="27"/>
      <c r="Y180" s="27"/>
      <c r="Z180" s="27"/>
      <c r="AA180" s="27"/>
      <c r="AB180" s="27"/>
    </row>
    <row r="181" ht="48.0" customHeight="1">
      <c r="A181" s="49" t="s">
        <v>2303</v>
      </c>
      <c r="B181" s="47" t="s">
        <v>1865</v>
      </c>
      <c r="C181" s="47" t="s">
        <v>2272</v>
      </c>
      <c r="D181" s="48"/>
      <c r="E181" s="49" t="s">
        <v>2304</v>
      </c>
      <c r="F181" s="49" t="s">
        <v>2305</v>
      </c>
      <c r="G181" s="49" t="s">
        <v>2306</v>
      </c>
      <c r="H181" s="48"/>
      <c r="I181" s="49" t="s">
        <v>2307</v>
      </c>
      <c r="J181" s="48"/>
      <c r="K181" s="50"/>
      <c r="L181" s="51"/>
      <c r="M181" s="51"/>
      <c r="N181" s="51"/>
      <c r="O181" s="52"/>
      <c r="P181" s="53"/>
      <c r="Q181" s="51"/>
      <c r="R181" s="54"/>
      <c r="S181" s="48"/>
      <c r="T181" s="27"/>
      <c r="U181" s="27"/>
      <c r="V181" s="27"/>
      <c r="W181" s="27"/>
      <c r="X181" s="27"/>
      <c r="Y181" s="27"/>
      <c r="Z181" s="27"/>
      <c r="AA181" s="27"/>
      <c r="AB181" s="27"/>
    </row>
    <row r="182" ht="48.0" customHeight="1">
      <c r="A182" s="49" t="s">
        <v>2308</v>
      </c>
      <c r="B182" s="47" t="s">
        <v>1865</v>
      </c>
      <c r="C182" s="47" t="s">
        <v>2272</v>
      </c>
      <c r="D182" s="48" t="s">
        <v>2309</v>
      </c>
      <c r="E182" s="49" t="s">
        <v>2310</v>
      </c>
      <c r="F182" s="48" t="str">
        <f>IFERROR(__xludf.DUMMYFUNCTION("IF(D182="""","""",IFERROR(TRIM(REGEXEXTRACT(D182, ""^(.*?)(?:,| - )"")), D182))"),"WD-40 Classic multi-use lubricant / rust protectant")</f>
        <v>WD-40 Classic multi-use lubricant / rust protectant</v>
      </c>
      <c r="G182" s="48" t="str">
        <f>IFERROR(__xludf.DUMMYFUNCTION("IF(D182="""","""",IFERROR(TRIM(REGEXEXTRACT(D182, ""(?:,| - )(.*)$"")), """"))"),"12 oz (12-pack case)")</f>
        <v>12 oz (12-pack case)</v>
      </c>
      <c r="H182" s="48" t="s">
        <v>2311</v>
      </c>
      <c r="I182" s="48" t="s">
        <v>157</v>
      </c>
      <c r="J182" s="48" t="s">
        <v>356</v>
      </c>
      <c r="K182" s="50">
        <v>96.49</v>
      </c>
      <c r="L182" s="51"/>
      <c r="M182" s="51">
        <v>0.0</v>
      </c>
      <c r="N182" s="51">
        <v>1.0</v>
      </c>
      <c r="O182" s="52" t="str">
        <f t="shared" ref="O182:O203" si="5">IF(AND(ISNUMBER(L182),ISNUMBER(M182),ISNUMBER(N182)),IF(L182&lt;=M182,MAX(0,N182-L182),0),"")</f>
        <v/>
      </c>
      <c r="P182" s="53" t="str">
        <f t="shared" ref="P182:P203" si="6">IF(AND(ISNUMBER(L182),ISNUMBER(M182)),IF(L182&lt;=M182,"REORDER",""),"")</f>
        <v/>
      </c>
      <c r="Q182" s="51"/>
      <c r="R182" s="54">
        <v>46099.0</v>
      </c>
      <c r="S182" s="48" t="s">
        <v>2312</v>
      </c>
      <c r="T182" s="27"/>
      <c r="U182" s="27"/>
      <c r="V182" s="27"/>
      <c r="W182" s="27"/>
      <c r="X182" s="27"/>
      <c r="Y182" s="27"/>
      <c r="Z182" s="27"/>
      <c r="AA182" s="27"/>
      <c r="AB182" s="27"/>
    </row>
    <row r="183" ht="48.0" customHeight="1">
      <c r="A183" s="49" t="s">
        <v>2313</v>
      </c>
      <c r="B183" s="47" t="s">
        <v>1865</v>
      </c>
      <c r="C183" s="47" t="s">
        <v>2272</v>
      </c>
      <c r="D183" s="48" t="s">
        <v>311</v>
      </c>
      <c r="E183" s="49" t="s">
        <v>2314</v>
      </c>
      <c r="F183" s="48" t="str">
        <f>IFERROR(__xludf.DUMMYFUNCTION("IF(D183="""","""",IFERROR(TRIM(REGEXEXTRACT(D183, ""^(.*?)(?:,| - )"")), D183))"),"Jobsite marker")</f>
        <v>Jobsite marker</v>
      </c>
      <c r="G183" s="48" t="str">
        <f>IFERROR(__xludf.DUMMYFUNCTION("IF(D183="""","""",IFERROR(TRIM(REGEXEXTRACT(D183, ""(?:,| - )(.*)$"")), """"))"),"fine 1 mm tip, black (36-pack)")</f>
        <v>fine 1 mm tip, black (36-pack)</v>
      </c>
      <c r="H183" s="48" t="s">
        <v>2315</v>
      </c>
      <c r="I183" s="48" t="s">
        <v>157</v>
      </c>
      <c r="J183" s="48" t="s">
        <v>314</v>
      </c>
      <c r="K183" s="50">
        <v>34.0</v>
      </c>
      <c r="L183" s="51"/>
      <c r="M183" s="51">
        <v>0.0</v>
      </c>
      <c r="N183" s="51">
        <v>1.0</v>
      </c>
      <c r="O183" s="52" t="str">
        <f t="shared" si="5"/>
        <v/>
      </c>
      <c r="P183" s="53" t="str">
        <f t="shared" si="6"/>
        <v/>
      </c>
      <c r="Q183" s="51"/>
      <c r="R183" s="54">
        <v>46162.0</v>
      </c>
      <c r="S183" s="48" t="s">
        <v>2316</v>
      </c>
      <c r="T183" s="27"/>
      <c r="U183" s="27"/>
      <c r="V183" s="27"/>
      <c r="W183" s="27"/>
      <c r="X183" s="27"/>
      <c r="Y183" s="27"/>
      <c r="Z183" s="27"/>
      <c r="AA183" s="27"/>
      <c r="AB183" s="27"/>
    </row>
    <row r="184" ht="48.0" hidden="1" customHeight="1">
      <c r="A184" s="48" t="s">
        <v>2317</v>
      </c>
      <c r="B184" s="47" t="s">
        <v>2318</v>
      </c>
      <c r="C184" s="47" t="s">
        <v>2318</v>
      </c>
      <c r="D184" s="48" t="s">
        <v>393</v>
      </c>
      <c r="E184" s="49" t="s">
        <v>2319</v>
      </c>
      <c r="F184" s="48" t="str">
        <f>IFERROR(__xludf.DUMMYFUNCTION("IF(D184="""","""",IFERROR(TRIM(REGEXEXTRACT(D184, ""^(.*?)(?:,| - )"")), D184))"),"All purpose cleaner &amp; degreaser concentrate")</f>
        <v>All purpose cleaner &amp; degreaser concentrate</v>
      </c>
      <c r="G184" s="48" t="str">
        <f>IFERROR(__xludf.DUMMYFUNCTION("IF(D184="""","""",IFERROR(TRIM(REGEXEXTRACT(D184, ""(?:,| - )(.*)$"")), """"))"),"lavender, 1 gallon")</f>
        <v>lavender, 1 gallon</v>
      </c>
      <c r="H184" s="48" t="s">
        <v>2320</v>
      </c>
      <c r="I184" s="48" t="s">
        <v>157</v>
      </c>
      <c r="J184" s="48" t="s">
        <v>282</v>
      </c>
      <c r="K184" s="50">
        <v>11.98</v>
      </c>
      <c r="L184" s="51"/>
      <c r="M184" s="51">
        <v>1.0</v>
      </c>
      <c r="N184" s="51">
        <v>2.0</v>
      </c>
      <c r="O184" s="52" t="str">
        <f t="shared" si="5"/>
        <v/>
      </c>
      <c r="P184" s="53" t="str">
        <f t="shared" si="6"/>
        <v/>
      </c>
      <c r="Q184" s="51"/>
      <c r="R184" s="54">
        <v>45994.0</v>
      </c>
      <c r="S184" s="48" t="s">
        <v>2321</v>
      </c>
      <c r="T184" s="27"/>
      <c r="U184" s="27"/>
      <c r="V184" s="27"/>
      <c r="W184" s="27"/>
      <c r="X184" s="27"/>
      <c r="Y184" s="27"/>
      <c r="Z184" s="27"/>
      <c r="AA184" s="27"/>
      <c r="AB184" s="27"/>
    </row>
    <row r="185" ht="48.0" hidden="1" customHeight="1">
      <c r="A185" s="48" t="s">
        <v>2322</v>
      </c>
      <c r="B185" s="47" t="s">
        <v>2318</v>
      </c>
      <c r="C185" s="47" t="s">
        <v>2318</v>
      </c>
      <c r="D185" s="48" t="s">
        <v>397</v>
      </c>
      <c r="E185" s="49" t="s">
        <v>2319</v>
      </c>
      <c r="F185" s="48" t="str">
        <f>IFERROR(__xludf.DUMMYFUNCTION("IF(D185="""","""",IFERROR(TRIM(REGEXEXTRACT(D185, ""^(.*?)(?:,| - )"")), D185))"),"All purpose cleaner concentrate")</f>
        <v>All purpose cleaner concentrate</v>
      </c>
      <c r="G185" s="48" t="str">
        <f>IFERROR(__xludf.DUMMYFUNCTION("IF(D185="""","""",IFERROR(TRIM(REGEXEXTRACT(D185, ""(?:,| - )(.*)$"")), """"))"),"64 fl oz")</f>
        <v>64 fl oz</v>
      </c>
      <c r="H185" s="48" t="s">
        <v>2323</v>
      </c>
      <c r="I185" s="48" t="s">
        <v>157</v>
      </c>
      <c r="J185" s="48" t="s">
        <v>282</v>
      </c>
      <c r="K185" s="50">
        <v>13.96</v>
      </c>
      <c r="L185" s="51"/>
      <c r="M185" s="51">
        <v>1.0</v>
      </c>
      <c r="N185" s="51">
        <v>2.0</v>
      </c>
      <c r="O185" s="52" t="str">
        <f t="shared" si="5"/>
        <v/>
      </c>
      <c r="P185" s="53" t="str">
        <f t="shared" si="6"/>
        <v/>
      </c>
      <c r="Q185" s="51"/>
      <c r="R185" s="54"/>
      <c r="S185" s="48" t="s">
        <v>2324</v>
      </c>
      <c r="T185" s="27"/>
      <c r="U185" s="27"/>
      <c r="V185" s="27"/>
      <c r="W185" s="27"/>
      <c r="X185" s="27"/>
      <c r="Y185" s="27"/>
      <c r="Z185" s="27"/>
      <c r="AA185" s="27"/>
      <c r="AB185" s="27"/>
    </row>
    <row r="186" ht="48.0" hidden="1" customHeight="1">
      <c r="A186" s="48" t="s">
        <v>2325</v>
      </c>
      <c r="B186" s="47" t="s">
        <v>2318</v>
      </c>
      <c r="C186" s="47" t="s">
        <v>2318</v>
      </c>
      <c r="D186" s="48" t="s">
        <v>2326</v>
      </c>
      <c r="E186" s="49" t="s">
        <v>2327</v>
      </c>
      <c r="F186" s="48" t="str">
        <f>IFERROR(__xludf.DUMMYFUNCTION("IF(D186="""","""",IFERROR(TRIM(REGEXEXTRACT(D186, ""^(.*?)(?:,| - )"")), D186))"),"Germicidal bleach")</f>
        <v>Germicidal bleach</v>
      </c>
      <c r="G186" s="48" t="str">
        <f>IFERROR(__xludf.DUMMYFUNCTION("IF(D186="""","""",IFERROR(TRIM(REGEXEXTRACT(D186, ""(?:,| - )(.*)$"")), """"))"),"commercial (carton of 3)")</f>
        <v>commercial (carton of 3)</v>
      </c>
      <c r="H186" s="48" t="s">
        <v>2328</v>
      </c>
      <c r="I186" s="48" t="s">
        <v>157</v>
      </c>
      <c r="J186" s="48" t="s">
        <v>2329</v>
      </c>
      <c r="K186" s="50">
        <v>32.8</v>
      </c>
      <c r="L186" s="51"/>
      <c r="M186" s="51">
        <v>1.0</v>
      </c>
      <c r="N186" s="51">
        <v>2.0</v>
      </c>
      <c r="O186" s="52" t="str">
        <f t="shared" si="5"/>
        <v/>
      </c>
      <c r="P186" s="53" t="str">
        <f t="shared" si="6"/>
        <v/>
      </c>
      <c r="Q186" s="51"/>
      <c r="R186" s="54">
        <v>46035.0</v>
      </c>
      <c r="S186" s="48" t="s">
        <v>2330</v>
      </c>
      <c r="T186" s="27"/>
      <c r="U186" s="27"/>
      <c r="V186" s="27"/>
      <c r="W186" s="27"/>
      <c r="X186" s="27"/>
      <c r="Y186" s="27"/>
      <c r="Z186" s="27"/>
      <c r="AA186" s="27"/>
      <c r="AB186" s="27"/>
    </row>
    <row r="187" ht="48.0" hidden="1" customHeight="1">
      <c r="A187" s="48" t="s">
        <v>2331</v>
      </c>
      <c r="B187" s="47" t="s">
        <v>2318</v>
      </c>
      <c r="C187" s="47" t="s">
        <v>2318</v>
      </c>
      <c r="D187" s="48" t="s">
        <v>369</v>
      </c>
      <c r="E187" s="49" t="s">
        <v>2332</v>
      </c>
      <c r="F187" s="48" t="str">
        <f>IFERROR(__xludf.DUMMYFUNCTION("IF(D187="""","""",IFERROR(TRIM(REGEXEXTRACT(D187, ""^(.*?)(?:,| - )"")), D187))"),"Microfiber cleaning cloths")</f>
        <v>Microfiber cleaning cloths</v>
      </c>
      <c r="G187" s="48" t="str">
        <f>IFERROR(__xludf.DUMMYFUNCTION("IF(D187="""","""",IFERROR(TRIM(REGEXEXTRACT(D187, ""(?:,| - )(.*)$"")), """"))"),"16 x 12"", lint-free (50-pack)")</f>
        <v>16 x 12", lint-free (50-pack)</v>
      </c>
      <c r="H187" s="48" t="s">
        <v>2333</v>
      </c>
      <c r="I187" s="48" t="s">
        <v>157</v>
      </c>
      <c r="J187" s="48" t="s">
        <v>372</v>
      </c>
      <c r="K187" s="50">
        <v>19.98</v>
      </c>
      <c r="L187" s="51"/>
      <c r="M187" s="51">
        <v>0.0</v>
      </c>
      <c r="N187" s="51">
        <v>1.0</v>
      </c>
      <c r="O187" s="52" t="str">
        <f t="shared" si="5"/>
        <v/>
      </c>
      <c r="P187" s="53" t="str">
        <f t="shared" si="6"/>
        <v/>
      </c>
      <c r="Q187" s="51"/>
      <c r="R187" s="54">
        <v>46232.0</v>
      </c>
      <c r="S187" s="48" t="s">
        <v>2334</v>
      </c>
      <c r="T187" s="27"/>
      <c r="U187" s="27"/>
      <c r="V187" s="27"/>
      <c r="W187" s="27"/>
      <c r="X187" s="27"/>
      <c r="Y187" s="27"/>
      <c r="Z187" s="27"/>
      <c r="AA187" s="27"/>
      <c r="AB187" s="27"/>
    </row>
    <row r="188" ht="48.0" hidden="1" customHeight="1">
      <c r="A188" s="48" t="s">
        <v>424</v>
      </c>
      <c r="B188" s="47" t="s">
        <v>2318</v>
      </c>
      <c r="C188" s="62" t="s">
        <v>2335</v>
      </c>
      <c r="D188" s="48" t="s">
        <v>425</v>
      </c>
      <c r="E188" s="49" t="s">
        <v>2336</v>
      </c>
      <c r="F188" s="48" t="str">
        <f>IFERROR(__xludf.DUMMYFUNCTION("IF(D188="""","""",IFERROR(TRIM(REGEXEXTRACT(D188, ""^(.*?)(?:,| - )"")), D188))"),"Copy paper")</f>
        <v>Copy paper</v>
      </c>
      <c r="G188" s="48" t="str">
        <f>IFERROR(__xludf.DUMMYFUNCTION("IF(D188="""","""",IFERROR(TRIM(REGEXEXTRACT(D188, ""(?:,| - )(.*)$"")), """"))"),"20 lb, 8.5 x 11, 92 bright - case (8 or 10 reams)")</f>
        <v>20 lb, 8.5 x 11, 92 bright - case (8 or 10 reams)</v>
      </c>
      <c r="H188" s="48" t="s">
        <v>2337</v>
      </c>
      <c r="I188" s="48" t="s">
        <v>157</v>
      </c>
      <c r="J188" s="48" t="s">
        <v>363</v>
      </c>
      <c r="K188" s="50">
        <v>46.99</v>
      </c>
      <c r="L188" s="51"/>
      <c r="M188" s="51">
        <v>0.0</v>
      </c>
      <c r="N188" s="51">
        <v>1.0</v>
      </c>
      <c r="O188" s="52" t="str">
        <f t="shared" si="5"/>
        <v/>
      </c>
      <c r="P188" s="53" t="str">
        <f t="shared" si="6"/>
        <v/>
      </c>
      <c r="Q188" s="51"/>
      <c r="R188" s="54">
        <v>46192.0</v>
      </c>
      <c r="S188" s="48" t="s">
        <v>2338</v>
      </c>
      <c r="T188" s="27"/>
      <c r="U188" s="27"/>
      <c r="V188" s="27"/>
      <c r="W188" s="27"/>
      <c r="X188" s="27"/>
      <c r="Y188" s="27"/>
      <c r="Z188" s="27"/>
      <c r="AA188" s="27"/>
      <c r="AB188" s="27"/>
    </row>
    <row r="189" ht="48.0" hidden="1" customHeight="1">
      <c r="A189" s="48" t="s">
        <v>2339</v>
      </c>
      <c r="B189" s="47" t="s">
        <v>2318</v>
      </c>
      <c r="C189" s="47" t="s">
        <v>2318</v>
      </c>
      <c r="D189" s="48" t="s">
        <v>379</v>
      </c>
      <c r="E189" s="49" t="s">
        <v>2340</v>
      </c>
      <c r="F189" s="48" t="str">
        <f>IFERROR(__xludf.DUMMYFUNCTION("IF(D189="""","""",IFERROR(TRIM(REGEXEXTRACT(D189, ""^(.*?)(?:,| - )"")), D189))"),"Disinfectant cleaner with bleach")</f>
        <v>Disinfectant cleaner with bleach</v>
      </c>
      <c r="G189" s="48" t="str">
        <f>IFERROR(__xludf.DUMMYFUNCTION("IF(D189="""","""",IFERROR(TRIM(REGEXEXTRACT(D189, ""(?:,| - )(.*)$"")), """"))"),"ready-to-use spray, 32 oz")</f>
        <v>ready-to-use spray, 32 oz</v>
      </c>
      <c r="H189" s="48" t="s">
        <v>2341</v>
      </c>
      <c r="I189" s="48" t="s">
        <v>157</v>
      </c>
      <c r="J189" s="48" t="s">
        <v>239</v>
      </c>
      <c r="K189" s="50">
        <v>7.09</v>
      </c>
      <c r="L189" s="51"/>
      <c r="M189" s="51">
        <v>1.0</v>
      </c>
      <c r="N189" s="51">
        <v>2.0</v>
      </c>
      <c r="O189" s="52" t="str">
        <f t="shared" si="5"/>
        <v/>
      </c>
      <c r="P189" s="53" t="str">
        <f t="shared" si="6"/>
        <v/>
      </c>
      <c r="Q189" s="51"/>
      <c r="R189" s="54">
        <v>45994.0</v>
      </c>
      <c r="S189" s="48" t="s">
        <v>2342</v>
      </c>
      <c r="T189" s="27"/>
      <c r="U189" s="27"/>
      <c r="V189" s="27"/>
      <c r="W189" s="27"/>
      <c r="X189" s="27"/>
      <c r="Y189" s="27"/>
      <c r="Z189" s="27"/>
      <c r="AA189" s="27"/>
      <c r="AB189" s="27"/>
    </row>
    <row r="190" ht="48.0" hidden="1" customHeight="1">
      <c r="A190" s="48" t="s">
        <v>2343</v>
      </c>
      <c r="B190" s="47" t="s">
        <v>2318</v>
      </c>
      <c r="C190" s="47" t="s">
        <v>2318</v>
      </c>
      <c r="D190" s="48" t="s">
        <v>2344</v>
      </c>
      <c r="E190" s="49" t="s">
        <v>2345</v>
      </c>
      <c r="F190" s="48" t="str">
        <f>IFERROR(__xludf.DUMMYFUNCTION("IF(D190="""","""",IFERROR(TRIM(REGEXEXTRACT(D190, ""^(.*?)(?:,| - )"")), D190))"),"Dish soap / degreaser")</f>
        <v>Dish soap / degreaser</v>
      </c>
      <c r="G190" s="48" t="str">
        <f>IFERROR(__xludf.DUMMYFUNCTION("IF(D190="""","""",IFERROR(TRIM(REGEXEXTRACT(D190, ""(?:,| - )(.*)$"")), """"))"),"heavy duty manual pot &amp; pan, 1 gallon (case of 2)")</f>
        <v>heavy duty manual pot &amp; pan, 1 gallon (case of 2)</v>
      </c>
      <c r="H190" s="48" t="s">
        <v>2346</v>
      </c>
      <c r="I190" s="48" t="s">
        <v>157</v>
      </c>
      <c r="J190" s="48" t="s">
        <v>363</v>
      </c>
      <c r="K190" s="50">
        <v>31.41</v>
      </c>
      <c r="L190" s="51"/>
      <c r="M190" s="51">
        <v>1.0</v>
      </c>
      <c r="N190" s="51">
        <v>2.0</v>
      </c>
      <c r="O190" s="52" t="str">
        <f t="shared" si="5"/>
        <v/>
      </c>
      <c r="P190" s="53" t="str">
        <f t="shared" si="6"/>
        <v/>
      </c>
      <c r="Q190" s="51"/>
      <c r="R190" s="54">
        <v>45994.0</v>
      </c>
      <c r="S190" s="48" t="s">
        <v>2347</v>
      </c>
      <c r="T190" s="27"/>
      <c r="U190" s="27"/>
      <c r="V190" s="27"/>
      <c r="W190" s="27"/>
      <c r="X190" s="27"/>
      <c r="Y190" s="27"/>
      <c r="Z190" s="27"/>
      <c r="AA190" s="27"/>
      <c r="AB190" s="27"/>
    </row>
    <row r="191" ht="48.0" hidden="1" customHeight="1">
      <c r="A191" s="48" t="s">
        <v>2348</v>
      </c>
      <c r="B191" s="47" t="s">
        <v>2318</v>
      </c>
      <c r="C191" s="47" t="s">
        <v>2318</v>
      </c>
      <c r="D191" s="48" t="s">
        <v>387</v>
      </c>
      <c r="E191" s="49" t="s">
        <v>2349</v>
      </c>
      <c r="F191" s="48" t="str">
        <f>IFERROR(__xludf.DUMMYFUNCTION("IF(D191="""","""",IFERROR(TRIM(REGEXEXTRACT(D191, ""^(.*?)(?:,| - )"")), D191))"),"Disinfecting wipes")</f>
        <v>Disinfecting wipes</v>
      </c>
      <c r="G191" s="48" t="str">
        <f>IFERROR(__xludf.DUMMYFUNCTION("IF(D191="""","""",IFERROR(TRIM(REGEXEXTRACT(D191, ""(?:,| - )(.*)$"")), """"))"),"multi-surface (bundle)")</f>
        <v>multi-surface (bundle)</v>
      </c>
      <c r="H191" s="48" t="s">
        <v>2350</v>
      </c>
      <c r="I191" s="48" t="s">
        <v>157</v>
      </c>
      <c r="J191" s="48" t="s">
        <v>388</v>
      </c>
      <c r="K191" s="50">
        <v>9.49</v>
      </c>
      <c r="L191" s="51"/>
      <c r="M191" s="51">
        <v>1.0</v>
      </c>
      <c r="N191" s="51">
        <v>2.0</v>
      </c>
      <c r="O191" s="52" t="str">
        <f t="shared" si="5"/>
        <v/>
      </c>
      <c r="P191" s="53" t="str">
        <f t="shared" si="6"/>
        <v/>
      </c>
      <c r="Q191" s="51"/>
      <c r="R191" s="54">
        <v>45994.0</v>
      </c>
      <c r="S191" s="48" t="s">
        <v>2351</v>
      </c>
      <c r="T191" s="27"/>
      <c r="U191" s="27"/>
      <c r="V191" s="27"/>
      <c r="W191" s="27"/>
      <c r="X191" s="27"/>
      <c r="Y191" s="27"/>
      <c r="Z191" s="27"/>
      <c r="AA191" s="27"/>
      <c r="AB191" s="27"/>
    </row>
    <row r="192" ht="48.0" hidden="1" customHeight="1">
      <c r="A192" s="48" t="s">
        <v>2352</v>
      </c>
      <c r="B192" s="47" t="s">
        <v>2318</v>
      </c>
      <c r="C192" s="47" t="s">
        <v>2318</v>
      </c>
      <c r="D192" s="48" t="s">
        <v>2353</v>
      </c>
      <c r="E192" s="49" t="s">
        <v>2354</v>
      </c>
      <c r="F192" s="48" t="str">
        <f>IFERROR(__xludf.DUMMYFUNCTION("IF(D192="""","""",IFERROR(TRIM(REGEXEXTRACT(D192, ""^(.*?)(?:,| - )"")), D192))"),"Liquid hand soap refill")</f>
        <v>Liquid hand soap refill</v>
      </c>
      <c r="G192" s="48" t="str">
        <f>IFERROR(__xludf.DUMMYFUNCTION("IF(D192="""","""",IFERROR(TRIM(REGEXEXTRACT(D192, ""(?:,| - )(.*)$"")), """"))"),"33 oz")</f>
        <v>33 oz</v>
      </c>
      <c r="H192" s="48" t="s">
        <v>2355</v>
      </c>
      <c r="I192" s="48" t="s">
        <v>157</v>
      </c>
      <c r="J192" s="48" t="s">
        <v>239</v>
      </c>
      <c r="K192" s="50">
        <v>8.49</v>
      </c>
      <c r="L192" s="51"/>
      <c r="M192" s="51">
        <v>1.0</v>
      </c>
      <c r="N192" s="51">
        <v>2.0</v>
      </c>
      <c r="O192" s="52" t="str">
        <f t="shared" si="5"/>
        <v/>
      </c>
      <c r="P192" s="53" t="str">
        <f t="shared" si="6"/>
        <v/>
      </c>
      <c r="Q192" s="51"/>
      <c r="R192" s="54">
        <v>45989.0</v>
      </c>
      <c r="S192" s="48" t="s">
        <v>2356</v>
      </c>
      <c r="T192" s="27"/>
      <c r="U192" s="27"/>
      <c r="V192" s="27"/>
      <c r="W192" s="27"/>
      <c r="X192" s="27"/>
      <c r="Y192" s="27"/>
      <c r="Z192" s="27"/>
      <c r="AA192" s="27"/>
      <c r="AB192" s="27"/>
    </row>
    <row r="193" ht="48.0" hidden="1" customHeight="1">
      <c r="A193" s="48" t="s">
        <v>2357</v>
      </c>
      <c r="B193" s="47" t="s">
        <v>2318</v>
      </c>
      <c r="C193" s="47" t="s">
        <v>2318</v>
      </c>
      <c r="D193" s="48" t="s">
        <v>362</v>
      </c>
      <c r="E193" s="49" t="s">
        <v>2358</v>
      </c>
      <c r="F193" s="48" t="str">
        <f>IFERROR(__xludf.DUMMYFUNCTION("IF(D193="""","""",IFERROR(TRIM(REGEXEXTRACT(D193, ""^(.*?)(?:,| - )"")), D193))"),"Hand towel roll")</f>
        <v>Hand towel roll</v>
      </c>
      <c r="G193" s="48" t="str">
        <f>IFERROR(__xludf.DUMMYFUNCTION("IF(D193="""","""",IFERROR(TRIM(REGEXEXTRACT(D193, ""(?:,| - )(.*)$"")), """"))"),"white, 100% recycled - case of 6 rolls x 800 ft")</f>
        <v>white, 100% recycled - case of 6 rolls x 800 ft</v>
      </c>
      <c r="H193" s="48" t="s">
        <v>2359</v>
      </c>
      <c r="I193" s="48" t="s">
        <v>157</v>
      </c>
      <c r="J193" s="48" t="s">
        <v>363</v>
      </c>
      <c r="K193" s="50">
        <v>44.99</v>
      </c>
      <c r="L193" s="51"/>
      <c r="M193" s="51">
        <v>1.0</v>
      </c>
      <c r="N193" s="51">
        <v>2.0</v>
      </c>
      <c r="O193" s="52" t="str">
        <f t="shared" si="5"/>
        <v/>
      </c>
      <c r="P193" s="53" t="str">
        <f t="shared" si="6"/>
        <v/>
      </c>
      <c r="Q193" s="51"/>
      <c r="R193" s="54">
        <v>46232.0</v>
      </c>
      <c r="S193" s="48" t="s">
        <v>2360</v>
      </c>
      <c r="T193" s="27"/>
      <c r="U193" s="27"/>
      <c r="V193" s="27"/>
      <c r="W193" s="27"/>
      <c r="X193" s="27"/>
      <c r="Y193" s="27"/>
      <c r="Z193" s="27"/>
      <c r="AA193" s="27"/>
      <c r="AB193" s="27"/>
    </row>
    <row r="194" ht="48.0" hidden="1" customHeight="1">
      <c r="A194" s="48" t="s">
        <v>2361</v>
      </c>
      <c r="B194" s="47" t="s">
        <v>2318</v>
      </c>
      <c r="C194" s="47" t="s">
        <v>2318</v>
      </c>
      <c r="D194" s="48" t="s">
        <v>2362</v>
      </c>
      <c r="E194" s="49" t="s">
        <v>2363</v>
      </c>
      <c r="F194" s="48" t="str">
        <f>IFERROR(__xludf.DUMMYFUNCTION("IF(D194="""","""",IFERROR(TRIM(REGEXEXTRACT(D194, ""^(.*?)(?:,| - )"")), D194))"),"Label tape")</f>
        <v>Label tape</v>
      </c>
      <c r="G194" s="48" t="str">
        <f>IFERROR(__xludf.DUMMYFUNCTION("IF(D194="""","""",IFERROR(TRIM(REGEXEXTRACT(D194, ""(?:,| - )(.*)$"")), """"))"),"P-touch TZe, 1/2"" (12mm) laminated, BLACK ON WHITE")</f>
        <v>P-touch TZe, 1/2" (12mm) laminated, BLACK ON WHITE</v>
      </c>
      <c r="H194" s="48" t="s">
        <v>2364</v>
      </c>
      <c r="I194" s="48" t="s">
        <v>157</v>
      </c>
      <c r="J194" s="48" t="s">
        <v>1100</v>
      </c>
      <c r="K194" s="50">
        <v>13.49</v>
      </c>
      <c r="L194" s="51"/>
      <c r="M194" s="51">
        <v>0.0</v>
      </c>
      <c r="N194" s="51">
        <v>1.0</v>
      </c>
      <c r="O194" s="52" t="str">
        <f t="shared" si="5"/>
        <v/>
      </c>
      <c r="P194" s="53" t="str">
        <f t="shared" si="6"/>
        <v/>
      </c>
      <c r="Q194" s="51"/>
      <c r="R194" s="54">
        <v>45959.0</v>
      </c>
      <c r="S194" s="48" t="s">
        <v>2365</v>
      </c>
      <c r="T194" s="27"/>
      <c r="U194" s="27"/>
      <c r="V194" s="27"/>
      <c r="W194" s="27"/>
      <c r="X194" s="27"/>
      <c r="Y194" s="27"/>
      <c r="Z194" s="27"/>
      <c r="AA194" s="27"/>
      <c r="AB194" s="27"/>
    </row>
    <row r="195" ht="48.0" hidden="1" customHeight="1">
      <c r="A195" s="48" t="s">
        <v>2366</v>
      </c>
      <c r="B195" s="47" t="s">
        <v>2318</v>
      </c>
      <c r="C195" s="47" t="s">
        <v>2318</v>
      </c>
      <c r="D195" s="48" t="s">
        <v>2367</v>
      </c>
      <c r="E195" s="49" t="s">
        <v>2368</v>
      </c>
      <c r="F195" s="48" t="str">
        <f>IFERROR(__xludf.DUMMYFUNCTION("IF(D195="""","""",IFERROR(TRIM(REGEXEXTRACT(D195, ""^(.*?)(?:,| - )"")), D195))"),"Scrub sponges")</f>
        <v>Scrub sponges</v>
      </c>
      <c r="G195" s="48" t="str">
        <f>IFERROR(__xludf.DUMMYFUNCTION("IF(D195="""","""",IFERROR(TRIM(REGEXEXTRACT(D195, ""(?:,| - )(.*)$"")), """"))"),"non-scratch cellulose, dual-sided (12-pack)")</f>
        <v>non-scratch cellulose, dual-sided (12-pack)</v>
      </c>
      <c r="H195" s="48" t="s">
        <v>2369</v>
      </c>
      <c r="I195" s="48" t="s">
        <v>157</v>
      </c>
      <c r="J195" s="48" t="s">
        <v>356</v>
      </c>
      <c r="K195" s="50">
        <v>11.04</v>
      </c>
      <c r="L195" s="51"/>
      <c r="M195" s="51">
        <v>0.0</v>
      </c>
      <c r="N195" s="51">
        <v>1.0</v>
      </c>
      <c r="O195" s="52" t="str">
        <f t="shared" si="5"/>
        <v/>
      </c>
      <c r="P195" s="53" t="str">
        <f t="shared" si="6"/>
        <v/>
      </c>
      <c r="Q195" s="51"/>
      <c r="R195" s="54">
        <v>45989.0</v>
      </c>
      <c r="S195" s="48" t="s">
        <v>2370</v>
      </c>
      <c r="T195" s="27"/>
      <c r="U195" s="27"/>
      <c r="V195" s="27"/>
      <c r="W195" s="27"/>
      <c r="X195" s="27"/>
      <c r="Y195" s="27"/>
      <c r="Z195" s="27"/>
      <c r="AA195" s="27"/>
      <c r="AB195" s="27"/>
    </row>
    <row r="196" ht="48.0" hidden="1" customHeight="1">
      <c r="A196" s="48" t="s">
        <v>2371</v>
      </c>
      <c r="B196" s="47" t="s">
        <v>2318</v>
      </c>
      <c r="C196" s="47" t="s">
        <v>2318</v>
      </c>
      <c r="D196" s="48" t="s">
        <v>2372</v>
      </c>
      <c r="E196" s="49" t="s">
        <v>2373</v>
      </c>
      <c r="F196" s="48" t="str">
        <f>IFERROR(__xludf.DUMMYFUNCTION("IF(D196="""","""",IFERROR(TRIM(REGEXEXTRACT(D196, ""^(.*?)(?:,| - )"")), D196))"),"Toilet bowl cleaner")</f>
        <v>Toilet bowl cleaner</v>
      </c>
      <c r="G196" s="48" t="str">
        <f>IFERROR(__xludf.DUMMYFUNCTION("IF(D196="""","""",IFERROR(TRIM(REGEXEXTRACT(D196, ""(?:,| - )(.*)$"")), """"))"),"max strength")</f>
        <v>max strength</v>
      </c>
      <c r="H196" s="48" t="s">
        <v>2374</v>
      </c>
      <c r="I196" s="48" t="s">
        <v>157</v>
      </c>
      <c r="J196" s="48" t="s">
        <v>239</v>
      </c>
      <c r="K196" s="50">
        <v>7.24</v>
      </c>
      <c r="L196" s="51"/>
      <c r="M196" s="51">
        <v>1.0</v>
      </c>
      <c r="N196" s="51">
        <v>2.0</v>
      </c>
      <c r="O196" s="52" t="str">
        <f t="shared" si="5"/>
        <v/>
      </c>
      <c r="P196" s="53" t="str">
        <f t="shared" si="6"/>
        <v/>
      </c>
      <c r="Q196" s="51"/>
      <c r="R196" s="54"/>
      <c r="S196" s="48" t="s">
        <v>2375</v>
      </c>
      <c r="T196" s="27"/>
      <c r="U196" s="27"/>
      <c r="V196" s="27"/>
      <c r="W196" s="27"/>
      <c r="X196" s="27"/>
      <c r="Y196" s="27"/>
      <c r="Z196" s="27"/>
      <c r="AA196" s="27"/>
      <c r="AB196" s="27"/>
    </row>
    <row r="197" ht="48.0" hidden="1" customHeight="1">
      <c r="A197" s="48" t="s">
        <v>2376</v>
      </c>
      <c r="B197" s="47" t="s">
        <v>2318</v>
      </c>
      <c r="C197" s="47" t="s">
        <v>2318</v>
      </c>
      <c r="D197" s="48" t="s">
        <v>354</v>
      </c>
      <c r="E197" s="49" t="s">
        <v>2377</v>
      </c>
      <c r="F197" s="48" t="str">
        <f>IFERROR(__xludf.DUMMYFUNCTION("IF(D197="""","""",IFERROR(TRIM(REGEXEXTRACT(D197, ""^(.*?)(?:,| - )"")), D197))"),"Bath tissue")</f>
        <v>Bath tissue</v>
      </c>
      <c r="G197" s="48" t="str">
        <f>IFERROR(__xludf.DUMMYFUNCTION("IF(D197="""","""",IFERROR(TRIM(REGEXEXTRACT(D197, ""(?:,| - )(.*)$"")), """"))"),"2-ply jumbo dispenser roll, 9"" x 1000 ft (case of 12)")</f>
        <v>2-ply jumbo dispenser roll, 9" x 1000 ft (case of 12)</v>
      </c>
      <c r="H197" s="48" t="s">
        <v>2378</v>
      </c>
      <c r="I197" s="48" t="s">
        <v>157</v>
      </c>
      <c r="J197" s="48" t="s">
        <v>356</v>
      </c>
      <c r="K197" s="50">
        <v>44.41</v>
      </c>
      <c r="L197" s="51"/>
      <c r="M197" s="51">
        <v>1.0</v>
      </c>
      <c r="N197" s="51">
        <v>2.0</v>
      </c>
      <c r="O197" s="52" t="str">
        <f t="shared" si="5"/>
        <v/>
      </c>
      <c r="P197" s="53" t="str">
        <f t="shared" si="6"/>
        <v/>
      </c>
      <c r="Q197" s="51"/>
      <c r="R197" s="54">
        <v>46232.0</v>
      </c>
      <c r="S197" s="48" t="s">
        <v>2379</v>
      </c>
      <c r="T197" s="27"/>
      <c r="U197" s="27"/>
      <c r="V197" s="27"/>
      <c r="W197" s="27"/>
      <c r="X197" s="27"/>
      <c r="Y197" s="27"/>
      <c r="Z197" s="27"/>
      <c r="AA197" s="27"/>
      <c r="AB197" s="27"/>
    </row>
    <row r="198" ht="48.0" hidden="1" customHeight="1">
      <c r="A198" s="48" t="s">
        <v>2380</v>
      </c>
      <c r="B198" s="47" t="s">
        <v>2318</v>
      </c>
      <c r="C198" s="47" t="s">
        <v>2318</v>
      </c>
      <c r="D198" s="48" t="s">
        <v>2381</v>
      </c>
      <c r="E198" s="49" t="s">
        <v>2382</v>
      </c>
      <c r="F198" s="48" t="str">
        <f>IFERROR(__xludf.DUMMYFUNCTION("IF(D198="""","""",IFERROR(TRIM(REGEXEXTRACT(D198, ""^(.*?)(?:,| - )"")), D198))"),"Trash bags")</f>
        <v>Trash bags</v>
      </c>
      <c r="G198" s="48" t="str">
        <f>IFERROR(__xludf.DUMMYFUNCTION("IF(D198="""","""",IFERROR(TRIM(REGEXEXTRACT(D198, ""(?:,| - )(.*)$"")), """"))"),"heavy duty, 95-96 gallon liners (50 count)")</f>
        <v>heavy duty, 95-96 gallon liners (50 count)</v>
      </c>
      <c r="H198" s="48" t="s">
        <v>2383</v>
      </c>
      <c r="I198" s="48" t="s">
        <v>157</v>
      </c>
      <c r="J198" s="48" t="s">
        <v>2384</v>
      </c>
      <c r="K198" s="50">
        <v>41.97</v>
      </c>
      <c r="L198" s="51"/>
      <c r="M198" s="51">
        <v>0.0</v>
      </c>
      <c r="N198" s="51">
        <v>1.0</v>
      </c>
      <c r="O198" s="52" t="str">
        <f t="shared" si="5"/>
        <v/>
      </c>
      <c r="P198" s="53" t="str">
        <f t="shared" si="6"/>
        <v/>
      </c>
      <c r="Q198" s="51"/>
      <c r="R198" s="54">
        <v>46090.0</v>
      </c>
      <c r="S198" s="48" t="s">
        <v>2385</v>
      </c>
      <c r="T198" s="27"/>
      <c r="U198" s="27"/>
      <c r="V198" s="27"/>
      <c r="W198" s="27"/>
      <c r="X198" s="27"/>
      <c r="Y198" s="27"/>
      <c r="Z198" s="27"/>
      <c r="AA198" s="27"/>
      <c r="AB198" s="27"/>
    </row>
    <row r="199" ht="48.0" hidden="1" customHeight="1">
      <c r="A199" s="48" t="s">
        <v>2386</v>
      </c>
      <c r="B199" s="47" t="s">
        <v>2318</v>
      </c>
      <c r="C199" s="47" t="s">
        <v>2318</v>
      </c>
      <c r="D199" s="48" t="s">
        <v>2387</v>
      </c>
      <c r="E199" s="49" t="s">
        <v>2388</v>
      </c>
      <c r="F199" s="48" t="str">
        <f>IFERROR(__xludf.DUMMYFUNCTION("IF(D199="""","""",IFERROR(TRIM(REGEXEXTRACT(D199, ""^(.*?)(?:,| - )"")), D199))"),"Label rolls")</f>
        <v>Label rolls</v>
      </c>
      <c r="G199" s="48" t="str">
        <f>IFERROR(__xludf.DUMMYFUNCTION("IF(D199="""","""",IFERROR(TRIM(REGEXEXTRACT(D199, ""(?:,| - )(.*)$"")), """"))"),"1-1/8"" x 3-1/2"" address/shipping/barcode, WHITE (6 rolls / 2,100 labels)")</f>
        <v>1-1/8" x 3-1/2" address/shipping/barcode, WHITE (6 rolls / 2,100 labels)</v>
      </c>
      <c r="H199" s="48" t="s">
        <v>2389</v>
      </c>
      <c r="I199" s="48" t="s">
        <v>157</v>
      </c>
      <c r="J199" s="48" t="s">
        <v>298</v>
      </c>
      <c r="K199" s="50">
        <v>20.57</v>
      </c>
      <c r="L199" s="51"/>
      <c r="M199" s="51">
        <v>0.0</v>
      </c>
      <c r="N199" s="51">
        <v>1.0</v>
      </c>
      <c r="O199" s="52" t="str">
        <f t="shared" si="5"/>
        <v/>
      </c>
      <c r="P199" s="53" t="str">
        <f t="shared" si="6"/>
        <v/>
      </c>
      <c r="Q199" s="51"/>
      <c r="R199" s="54">
        <v>46091.0</v>
      </c>
      <c r="S199" s="48" t="s">
        <v>2390</v>
      </c>
      <c r="T199" s="27"/>
      <c r="U199" s="27"/>
      <c r="V199" s="27"/>
      <c r="W199" s="27"/>
      <c r="X199" s="27"/>
      <c r="Y199" s="27"/>
      <c r="Z199" s="27"/>
      <c r="AA199" s="27"/>
      <c r="AB199" s="27"/>
    </row>
    <row r="200" ht="48.0" hidden="1" customHeight="1">
      <c r="A200" s="28" t="s">
        <v>2391</v>
      </c>
      <c r="B200" s="63" t="s">
        <v>125</v>
      </c>
      <c r="C200" s="63" t="s">
        <v>436</v>
      </c>
      <c r="D200" s="48"/>
      <c r="E200" s="49" t="s">
        <v>2392</v>
      </c>
      <c r="F200" s="48" t="s">
        <v>2392</v>
      </c>
      <c r="G200" s="48" t="str">
        <f>IFERROR(__xludf.DUMMYFUNCTION("IF(D200="""","""",IFERROR(TRIM(REGEXEXTRACT(D200, ""(?:,| - )(.*)$"")), """"))"),"")</f>
        <v/>
      </c>
      <c r="H200" s="48" t="s">
        <v>915</v>
      </c>
      <c r="I200" s="48" t="s">
        <v>240</v>
      </c>
      <c r="J200" s="48" t="s">
        <v>932</v>
      </c>
      <c r="K200" s="50">
        <v>20.0</v>
      </c>
      <c r="L200" s="51"/>
      <c r="M200" s="51"/>
      <c r="N200" s="51"/>
      <c r="O200" s="52" t="str">
        <f t="shared" si="5"/>
        <v/>
      </c>
      <c r="P200" s="53" t="str">
        <f t="shared" si="6"/>
        <v/>
      </c>
      <c r="Q200" s="51"/>
      <c r="R200" s="54"/>
      <c r="S200" s="48"/>
      <c r="T200" s="46"/>
      <c r="U200" s="46"/>
      <c r="V200" s="46"/>
      <c r="W200" s="46"/>
      <c r="X200" s="46"/>
      <c r="Y200" s="46"/>
      <c r="Z200" s="46"/>
      <c r="AA200" s="46"/>
      <c r="AB200" s="46"/>
    </row>
    <row r="201" ht="48.0" hidden="1" customHeight="1">
      <c r="A201" s="28" t="s">
        <v>2393</v>
      </c>
      <c r="B201" s="63" t="s">
        <v>125</v>
      </c>
      <c r="C201" s="63" t="s">
        <v>436</v>
      </c>
      <c r="D201" s="48"/>
      <c r="E201" s="49" t="s">
        <v>2394</v>
      </c>
      <c r="F201" s="48" t="s">
        <v>2394</v>
      </c>
      <c r="G201" s="48" t="str">
        <f>IFERROR(__xludf.DUMMYFUNCTION("IF(D201="""","""",IFERROR(TRIM(REGEXEXTRACT(D201, ""(?:,| - )(.*)$"")), """"))"),"")</f>
        <v/>
      </c>
      <c r="H201" s="48" t="s">
        <v>915</v>
      </c>
      <c r="I201" s="48" t="s">
        <v>240</v>
      </c>
      <c r="J201" s="48" t="s">
        <v>932</v>
      </c>
      <c r="K201" s="50">
        <v>20.0</v>
      </c>
      <c r="L201" s="51"/>
      <c r="M201" s="51"/>
      <c r="N201" s="51"/>
      <c r="O201" s="52" t="str">
        <f t="shared" si="5"/>
        <v/>
      </c>
      <c r="P201" s="53" t="str">
        <f t="shared" si="6"/>
        <v/>
      </c>
      <c r="Q201" s="51"/>
      <c r="R201" s="54"/>
      <c r="S201" s="48"/>
      <c r="T201" s="46"/>
      <c r="U201" s="46"/>
      <c r="V201" s="46"/>
      <c r="W201" s="46"/>
      <c r="X201" s="46"/>
      <c r="Y201" s="46"/>
      <c r="Z201" s="46"/>
      <c r="AA201" s="46"/>
      <c r="AB201" s="46"/>
    </row>
    <row r="202" ht="48.0" hidden="1" customHeight="1">
      <c r="A202" s="28" t="s">
        <v>2395</v>
      </c>
      <c r="B202" s="63" t="s">
        <v>125</v>
      </c>
      <c r="C202" s="63" t="s">
        <v>436</v>
      </c>
      <c r="D202" s="48"/>
      <c r="E202" s="49" t="s">
        <v>2396</v>
      </c>
      <c r="F202" s="48" t="s">
        <v>2392</v>
      </c>
      <c r="G202" s="48" t="str">
        <f>IFERROR(__xludf.DUMMYFUNCTION("IF(D202="""","""",IFERROR(TRIM(REGEXEXTRACT(D202, ""(?:,| - )(.*)$"")), """"))"),"")</f>
        <v/>
      </c>
      <c r="H202" s="48" t="s">
        <v>915</v>
      </c>
      <c r="I202" s="48" t="s">
        <v>240</v>
      </c>
      <c r="J202" s="48" t="s">
        <v>932</v>
      </c>
      <c r="K202" s="50">
        <v>20.0</v>
      </c>
      <c r="L202" s="51"/>
      <c r="M202" s="51"/>
      <c r="N202" s="51"/>
      <c r="O202" s="52" t="str">
        <f t="shared" si="5"/>
        <v/>
      </c>
      <c r="P202" s="53" t="str">
        <f t="shared" si="6"/>
        <v/>
      </c>
      <c r="Q202" s="51"/>
      <c r="R202" s="54"/>
      <c r="S202" s="48"/>
      <c r="T202" s="27"/>
      <c r="U202" s="27"/>
      <c r="V202" s="27"/>
      <c r="W202" s="27"/>
      <c r="X202" s="27"/>
      <c r="Y202" s="27"/>
      <c r="Z202" s="27"/>
      <c r="AA202" s="27"/>
      <c r="AB202" s="27"/>
    </row>
    <row r="203" ht="48.0" hidden="1" customHeight="1">
      <c r="A203" s="28" t="s">
        <v>2397</v>
      </c>
      <c r="B203" s="63" t="s">
        <v>125</v>
      </c>
      <c r="C203" s="63" t="s">
        <v>436</v>
      </c>
      <c r="D203" s="48"/>
      <c r="E203" s="49" t="s">
        <v>2398</v>
      </c>
      <c r="F203" s="48" t="s">
        <v>2394</v>
      </c>
      <c r="G203" s="48" t="str">
        <f>IFERROR(__xludf.DUMMYFUNCTION("IF(D203="""","""",IFERROR(TRIM(REGEXEXTRACT(D203, ""(?:,| - )(.*)$"")), """"))"),"")</f>
        <v/>
      </c>
      <c r="H203" s="48" t="s">
        <v>915</v>
      </c>
      <c r="I203" s="48" t="s">
        <v>240</v>
      </c>
      <c r="J203" s="48" t="s">
        <v>932</v>
      </c>
      <c r="K203" s="50">
        <v>20.0</v>
      </c>
      <c r="L203" s="51"/>
      <c r="M203" s="51"/>
      <c r="N203" s="51"/>
      <c r="O203" s="52" t="str">
        <f t="shared" si="5"/>
        <v/>
      </c>
      <c r="P203" s="53" t="str">
        <f t="shared" si="6"/>
        <v/>
      </c>
      <c r="Q203" s="51"/>
      <c r="R203" s="54"/>
      <c r="S203" s="48"/>
      <c r="T203" s="27"/>
      <c r="U203" s="27"/>
      <c r="V203" s="27"/>
      <c r="W203" s="27"/>
      <c r="X203" s="27"/>
      <c r="Y203" s="27"/>
      <c r="Z203" s="27"/>
      <c r="AA203" s="27"/>
      <c r="AB203" s="27"/>
    </row>
    <row r="204" ht="48.0"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row>
    <row r="205" ht="48.0"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row>
    <row r="206" ht="48.0"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row>
    <row r="207" ht="48.0"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row>
    <row r="208" ht="48.0"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row>
    <row r="209" ht="48.0"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row>
    <row r="210" ht="48.0"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row>
    <row r="211" ht="48.0"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row>
    <row r="212" ht="48.0"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row>
    <row r="213" ht="48.0"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row>
    <row r="214" ht="48.0"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row>
    <row r="215" ht="48.0"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row>
    <row r="216" ht="48.0"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row>
    <row r="217" ht="48.0"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row>
    <row r="218" ht="48.0"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row>
    <row r="219" ht="48.0"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row>
    <row r="220" ht="48.0"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row>
    <row r="221" ht="48.0"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row>
    <row r="222" ht="48.0"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row>
    <row r="223" ht="48.0"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row>
    <row r="224" ht="48.0"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row>
    <row r="225" ht="48.0"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row>
    <row r="226" ht="48.0"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row>
    <row r="227" ht="48.0"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row>
    <row r="228" ht="48.0"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row>
    <row r="229" ht="48.0"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row>
    <row r="230" ht="48.0"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row>
    <row r="231" ht="48.0"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row>
    <row r="232" ht="48.0"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row>
    <row r="233" ht="48.0"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row>
    <row r="234" ht="48.0"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row>
    <row r="235" ht="48.0"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row>
    <row r="236" ht="48.0"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row>
    <row r="237" ht="48.0"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row>
    <row r="238" ht="48.0"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row>
    <row r="239" ht="48.0"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row>
    <row r="240" ht="48.0"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row>
    <row r="241" ht="48.0"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row>
    <row r="242" ht="48.0"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row>
    <row r="243" ht="48.0"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row>
    <row r="244" ht="48.0"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row>
    <row r="245" ht="48.0"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row>
    <row r="246" ht="48.0"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row>
    <row r="247" ht="48.0"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row>
    <row r="248" ht="48.0"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row>
    <row r="249" ht="48.0"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row>
    <row r="250" ht="48.0"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row>
    <row r="251" ht="48.0"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row>
    <row r="252" ht="48.0"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row>
    <row r="253" ht="48.0"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row>
    <row r="254" ht="48.0"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row>
    <row r="255" ht="48.0"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row>
    <row r="256" ht="48.0"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row>
    <row r="257" ht="48.0"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row>
    <row r="258" ht="48.0"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row>
    <row r="259" ht="48.0"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row>
    <row r="260" ht="48.0"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row>
    <row r="261" ht="48.0"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row>
    <row r="262" ht="48.0"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row>
    <row r="263" ht="48.0"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row>
    <row r="264" ht="48.0"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row>
    <row r="265" ht="48.0"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row>
    <row r="266" ht="48.0"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row>
    <row r="267" ht="48.0"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row>
    <row r="268" ht="48.0"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row>
    <row r="269" ht="48.0"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row>
    <row r="270" ht="48.0"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row>
    <row r="271" ht="48.0"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row>
    <row r="272" ht="48.0"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row>
    <row r="273" ht="48.0"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row>
    <row r="274" ht="48.0"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row>
    <row r="275" ht="48.0"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row>
    <row r="276" ht="48.0"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row>
    <row r="277" ht="48.0"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row>
    <row r="278" ht="48.0"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row>
    <row r="279" ht="48.0"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row>
    <row r="280" ht="48.0"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row>
    <row r="281" ht="48.0"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row>
    <row r="282" ht="48.0"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row>
    <row r="283" ht="48.0"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row>
    <row r="284" ht="48.0"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row>
    <row r="285" ht="48.0"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row>
    <row r="286" ht="48.0"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row>
    <row r="287" ht="48.0"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row>
    <row r="288" ht="48.0"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row>
    <row r="289" ht="48.0"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row>
    <row r="290" ht="48.0"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row>
    <row r="291" ht="48.0"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row>
    <row r="292" ht="48.0"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row>
    <row r="293" ht="48.0"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row>
    <row r="294" ht="48.0"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row>
    <row r="295" ht="48.0"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row>
    <row r="296" ht="48.0"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row>
    <row r="297" ht="48.0"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row>
    <row r="298" ht="48.0"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row>
    <row r="299" ht="48.0"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row>
    <row r="300" ht="48.0"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row>
    <row r="301" ht="48.0"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row>
    <row r="302" ht="48.0"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row>
    <row r="303" ht="48.0"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row>
    <row r="304" ht="48.0"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row>
    <row r="305" ht="48.0"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row>
    <row r="306" ht="48.0"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row>
    <row r="307" ht="48.0"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row>
    <row r="308" ht="48.0"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row>
    <row r="309" ht="48.0"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row>
    <row r="310" ht="48.0"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row>
    <row r="311" ht="48.0"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row>
    <row r="312" ht="48.0"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row>
    <row r="313" ht="48.0"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row>
    <row r="314" ht="48.0"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row>
    <row r="315" ht="48.0"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row>
    <row r="316" ht="48.0"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row>
    <row r="317" ht="48.0"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row>
    <row r="318" ht="48.0"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row>
    <row r="319" ht="48.0"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row>
    <row r="320" ht="48.0"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row>
    <row r="321" ht="48.0"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row>
    <row r="322" ht="48.0"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row>
    <row r="323" ht="48.0"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row>
    <row r="324" ht="48.0"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row>
    <row r="325" ht="48.0"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row>
    <row r="326" ht="48.0"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row>
    <row r="327" ht="48.0"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row>
    <row r="328" ht="48.0"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row>
    <row r="329" ht="48.0"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row>
    <row r="330" ht="48.0"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row>
    <row r="331" ht="48.0"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row>
    <row r="332" ht="48.0"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row>
    <row r="333" ht="48.0"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row>
    <row r="334" ht="48.0"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row>
    <row r="335" ht="48.0"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row>
    <row r="336" ht="48.0"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row>
    <row r="337" ht="48.0"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row>
    <row r="338" ht="48.0"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row>
    <row r="339" ht="48.0"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row>
    <row r="340" ht="48.0"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row>
    <row r="341" ht="48.0"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row>
    <row r="342" ht="48.0"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row>
    <row r="343" ht="48.0"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row>
    <row r="344" ht="48.0"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row>
    <row r="345" ht="48.0"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row>
    <row r="346" ht="48.0"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row>
    <row r="347" ht="48.0"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row>
    <row r="348" ht="48.0"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row>
    <row r="349" ht="48.0"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row>
    <row r="350" ht="48.0"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row>
    <row r="351" ht="48.0"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row>
    <row r="352" ht="48.0"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row>
    <row r="353" ht="48.0"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row>
    <row r="354" ht="48.0"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row>
    <row r="355" ht="48.0"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row>
    <row r="356" ht="48.0"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row>
    <row r="357" ht="48.0"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row>
    <row r="358" ht="48.0"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row>
    <row r="359" ht="48.0"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row>
    <row r="360" ht="48.0"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row>
    <row r="361" ht="48.0"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row>
    <row r="362" ht="48.0"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row>
    <row r="363" ht="48.0"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row>
    <row r="364" ht="48.0"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row>
    <row r="365" ht="48.0"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row>
    <row r="366" ht="48.0"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row>
    <row r="367" ht="48.0"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row>
    <row r="368" ht="48.0"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row>
    <row r="369" ht="48.0"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row>
    <row r="370" ht="48.0"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row>
    <row r="371" ht="48.0"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row>
    <row r="372" ht="48.0"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row>
    <row r="373" ht="48.0"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row>
    <row r="374" ht="48.0"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row>
    <row r="375" ht="48.0"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row>
    <row r="376" ht="48.0"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row>
    <row r="377" ht="48.0"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row>
    <row r="378" ht="48.0"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row>
    <row r="379" ht="48.0"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row>
    <row r="380" ht="48.0"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row>
    <row r="381" ht="48.0"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row>
    <row r="382" ht="48.0"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row>
    <row r="383" ht="48.0"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row>
    <row r="384" ht="48.0"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row>
    <row r="385" ht="48.0"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row>
    <row r="386" ht="48.0"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row>
    <row r="387" ht="48.0"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row>
    <row r="388" ht="48.0"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row>
    <row r="389" ht="48.0"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row>
    <row r="390" ht="48.0"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row>
    <row r="391" ht="48.0"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row>
    <row r="392" ht="48.0"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row>
    <row r="393" ht="48.0"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row>
    <row r="394" ht="48.0"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row>
    <row r="395" ht="48.0"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row>
    <row r="396" ht="48.0"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row>
    <row r="397" ht="48.0"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row>
    <row r="398" ht="48.0"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row>
    <row r="399" ht="48.0"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row>
    <row r="400" ht="48.0"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row>
    <row r="401" ht="48.0"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row>
    <row r="402" ht="48.0"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row>
    <row r="403" ht="48.0"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row>
    <row r="404" ht="48.0"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row>
    <row r="405" ht="48.0"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row>
    <row r="406" ht="48.0"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row>
    <row r="407" ht="48.0"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row>
    <row r="408" ht="48.0"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row>
    <row r="409" ht="48.0"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row>
    <row r="410" ht="48.0"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row>
    <row r="411" ht="48.0"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row>
    <row r="412" ht="48.0"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row>
    <row r="413" ht="48.0"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row>
    <row r="414" ht="48.0"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row>
    <row r="415" ht="48.0"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row>
    <row r="416" ht="48.0"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row>
    <row r="417" ht="48.0"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row>
    <row r="418" ht="48.0"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row>
    <row r="419" ht="48.0"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row>
    <row r="420" ht="48.0"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row>
    <row r="421" ht="48.0"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row>
    <row r="422" ht="48.0"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row>
    <row r="423" ht="48.0"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row>
    <row r="424" ht="48.0"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row>
    <row r="425" ht="48.0"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row>
    <row r="426" ht="48.0"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row>
    <row r="427" ht="48.0"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row>
    <row r="428" ht="48.0"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row>
    <row r="429" ht="48.0"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row>
    <row r="430" ht="48.0"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row>
    <row r="431" ht="48.0"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row>
    <row r="432" ht="48.0"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row>
    <row r="433" ht="48.0"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row>
    <row r="434" ht="48.0"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row>
    <row r="435" ht="48.0"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row>
    <row r="436" ht="48.0"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row>
    <row r="437" ht="48.0"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row>
    <row r="438" ht="48.0"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row>
    <row r="439" ht="48.0"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row>
    <row r="440" ht="48.0"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row>
    <row r="441" ht="48.0"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row>
    <row r="442" ht="48.0"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row>
    <row r="443" ht="48.0"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row>
    <row r="444" ht="48.0"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row>
    <row r="445" ht="48.0"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row>
    <row r="446" ht="48.0"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row>
    <row r="447" ht="48.0"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row>
    <row r="448" ht="48.0"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row>
    <row r="449" ht="48.0"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row>
    <row r="450" ht="48.0"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row>
    <row r="451" ht="48.0"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row>
    <row r="452" ht="48.0"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row>
    <row r="453" ht="48.0"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row>
    <row r="454" ht="48.0"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row>
    <row r="455" ht="48.0"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row>
    <row r="456" ht="48.0"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row>
    <row r="457" ht="48.0"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row>
    <row r="458" ht="48.0"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row>
    <row r="459" ht="48.0"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row>
    <row r="460" ht="48.0"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row>
    <row r="461" ht="48.0"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row>
    <row r="462" ht="48.0"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row>
    <row r="463" ht="48.0"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row>
    <row r="464" ht="48.0"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row>
    <row r="465" ht="48.0"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row>
    <row r="466" ht="48.0"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row>
    <row r="467" ht="48.0"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row>
    <row r="468" ht="48.0"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row>
    <row r="469" ht="48.0"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row>
    <row r="470" ht="48.0"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row>
    <row r="471" ht="48.0"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row>
    <row r="472" ht="48.0"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row>
    <row r="473" ht="48.0"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row>
    <row r="474" ht="48.0"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row>
    <row r="475" ht="48.0"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row>
    <row r="476" ht="48.0"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row>
    <row r="477" ht="48.0"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row>
    <row r="478" ht="48.0"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row>
    <row r="479" ht="48.0"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row>
    <row r="480" ht="48.0"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row>
    <row r="481" ht="48.0"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row>
    <row r="482" ht="48.0"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row>
    <row r="483" ht="48.0"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row>
    <row r="484" ht="48.0"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row>
    <row r="485" ht="48.0"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row>
    <row r="486" ht="48.0"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row>
    <row r="487" ht="48.0"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row>
    <row r="488" ht="48.0"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row>
    <row r="489" ht="48.0"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row>
    <row r="490" ht="48.0"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row>
    <row r="491" ht="48.0"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row>
    <row r="492" ht="48.0"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row>
    <row r="493" ht="48.0"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row>
    <row r="494" ht="48.0"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row>
    <row r="495" ht="48.0"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row>
    <row r="496" ht="48.0"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row>
    <row r="497" ht="48.0"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row>
    <row r="498" ht="48.0"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row>
    <row r="499" ht="48.0"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row>
    <row r="500" ht="48.0"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row>
    <row r="501" ht="48.0"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row>
    <row r="502" ht="48.0"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row>
    <row r="503" ht="48.0"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row>
    <row r="504" ht="48.0"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row>
    <row r="505" ht="48.0"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row>
    <row r="506" ht="48.0"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row>
    <row r="507" ht="48.0"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row>
    <row r="508" ht="48.0"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row>
    <row r="509" ht="48.0"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row>
    <row r="510" ht="48.0"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row>
    <row r="511" ht="48.0"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row>
    <row r="512" ht="48.0"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row>
    <row r="513" ht="48.0"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row>
    <row r="514" ht="48.0"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row>
    <row r="515" ht="48.0"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row>
    <row r="516" ht="48.0"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row>
    <row r="517" ht="48.0"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row>
    <row r="518" ht="48.0"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row>
    <row r="519" ht="48.0"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row>
    <row r="520" ht="48.0"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row>
    <row r="521" ht="48.0"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row>
    <row r="522" ht="48.0"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row>
    <row r="523" ht="48.0"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row>
    <row r="524" ht="48.0"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row>
    <row r="525" ht="48.0"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row>
    <row r="526" ht="48.0"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row>
    <row r="527" ht="48.0"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row>
    <row r="528" ht="48.0"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row>
    <row r="529" ht="48.0"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row>
    <row r="530" ht="48.0"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row>
    <row r="531" ht="48.0"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row>
    <row r="532" ht="48.0"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row>
    <row r="533" ht="48.0"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row>
    <row r="534" ht="48.0"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row>
    <row r="535" ht="48.0"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row>
    <row r="536" ht="48.0"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row>
    <row r="537" ht="48.0"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row>
    <row r="538" ht="48.0"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row>
    <row r="539" ht="48.0"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row>
    <row r="540" ht="48.0"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row>
    <row r="541" ht="48.0"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row>
    <row r="542" ht="48.0"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row>
    <row r="543" ht="48.0"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row>
    <row r="544" ht="48.0"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row>
    <row r="545" ht="48.0"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row>
    <row r="546" ht="48.0"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row>
    <row r="547" ht="48.0"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row>
    <row r="548" ht="48.0"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row>
    <row r="549" ht="48.0"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row>
    <row r="550" ht="48.0"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row>
    <row r="551" ht="48.0"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row>
    <row r="552" ht="48.0"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row>
    <row r="553" ht="48.0"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row>
    <row r="554" ht="48.0"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row>
    <row r="555" ht="48.0"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row>
    <row r="556" ht="48.0"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row>
    <row r="557" ht="48.0"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row>
    <row r="558" ht="48.0"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row>
    <row r="559" ht="48.0"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row>
    <row r="560" ht="48.0"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row>
    <row r="561" ht="48.0"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row>
    <row r="562" ht="48.0"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row>
    <row r="563" ht="48.0"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row>
    <row r="564" ht="48.0"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row>
    <row r="565" ht="48.0"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row>
    <row r="566" ht="48.0"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row>
    <row r="567" ht="48.0"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row>
    <row r="568" ht="48.0"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row>
    <row r="569" ht="48.0"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row>
    <row r="570" ht="48.0"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row>
    <row r="571" ht="48.0"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row>
    <row r="572" ht="48.0"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row>
    <row r="573" ht="48.0"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row>
    <row r="574" ht="48.0"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row>
    <row r="575" ht="48.0"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row>
    <row r="576" ht="48.0"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row>
    <row r="577" ht="48.0"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row>
    <row r="578" ht="48.0"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row>
    <row r="579" ht="48.0"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row>
    <row r="580" ht="48.0"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row>
    <row r="581" ht="48.0"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row>
    <row r="582" ht="48.0"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row>
    <row r="583" ht="48.0"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row>
    <row r="584" ht="48.0"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row>
    <row r="585" ht="48.0"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row>
    <row r="586" ht="48.0"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row>
    <row r="587" ht="48.0"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row>
    <row r="588" ht="48.0"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row>
    <row r="589" ht="48.0"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row>
    <row r="590" ht="48.0"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row>
    <row r="591" ht="48.0"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row>
    <row r="592" ht="48.0"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row>
    <row r="593" ht="48.0"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row>
    <row r="594" ht="48.0"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row>
    <row r="595" ht="48.0"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row>
    <row r="596" ht="48.0"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row>
    <row r="597" ht="48.0"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row>
    <row r="598" ht="48.0"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row>
    <row r="599" ht="48.0"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row>
    <row r="600" ht="48.0"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row>
    <row r="601" ht="48.0"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row>
    <row r="602" ht="48.0"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row>
    <row r="603" ht="48.0"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row>
    <row r="604" ht="48.0"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row>
    <row r="605" ht="48.0"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row>
    <row r="606" ht="48.0"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row>
    <row r="607" ht="48.0"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row>
    <row r="608" ht="48.0"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row>
    <row r="609" ht="48.0"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row>
    <row r="610" ht="48.0"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row>
    <row r="611" ht="48.0"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row>
    <row r="612" ht="48.0"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row>
    <row r="613" ht="48.0"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row>
    <row r="614" ht="48.0"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row>
    <row r="615" ht="48.0"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row>
    <row r="616" ht="48.0"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row>
    <row r="617" ht="48.0"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row>
    <row r="618" ht="48.0"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row>
    <row r="619" ht="48.0"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row>
    <row r="620" ht="48.0"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row>
    <row r="621" ht="48.0"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row>
    <row r="622" ht="48.0"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row>
    <row r="623" ht="48.0"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row>
    <row r="624" ht="48.0"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row>
    <row r="625" ht="48.0"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row>
    <row r="626" ht="48.0"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row>
    <row r="627" ht="48.0"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row>
    <row r="628" ht="48.0"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row>
    <row r="629" ht="48.0"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row>
    <row r="630" ht="48.0"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row>
    <row r="631" ht="48.0"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row>
    <row r="632" ht="48.0"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row>
    <row r="633" ht="48.0"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row>
    <row r="634" ht="48.0"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row>
    <row r="635" ht="48.0"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row>
    <row r="636" ht="48.0"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row>
    <row r="637" ht="48.0"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row>
    <row r="638" ht="48.0"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row>
    <row r="639" ht="48.0"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row>
    <row r="640" ht="48.0"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row>
    <row r="641" ht="48.0"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row>
    <row r="642" ht="48.0"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row>
    <row r="643" ht="48.0"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row>
    <row r="644" ht="48.0"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row>
    <row r="645" ht="48.0"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row>
    <row r="646" ht="48.0"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row>
    <row r="647" ht="48.0"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row>
    <row r="648" ht="48.0"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row>
    <row r="649" ht="48.0"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row>
    <row r="650" ht="48.0"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row>
    <row r="651" ht="48.0"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row>
    <row r="652" ht="48.0"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row>
    <row r="653" ht="48.0"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row>
    <row r="654" ht="48.0"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row>
    <row r="655" ht="48.0"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row>
    <row r="656" ht="48.0"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row>
    <row r="657" ht="48.0"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row>
    <row r="658" ht="48.0"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row>
    <row r="659" ht="48.0"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row>
    <row r="660" ht="48.0"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row>
    <row r="661" ht="48.0"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row>
    <row r="662" ht="48.0"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row>
    <row r="663" ht="48.0"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row>
    <row r="664" ht="48.0"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row>
    <row r="665" ht="48.0"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row>
    <row r="666" ht="48.0"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row>
    <row r="667" ht="48.0"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row>
    <row r="668" ht="48.0"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row>
    <row r="669" ht="48.0"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row>
    <row r="670" ht="48.0"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row>
    <row r="671" ht="48.0"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row>
    <row r="672" ht="48.0"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row>
    <row r="673" ht="48.0"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row>
    <row r="674" ht="48.0"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row>
    <row r="675" ht="48.0"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row>
    <row r="676" ht="48.0"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row>
    <row r="677" ht="48.0"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row>
    <row r="678" ht="48.0"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row>
    <row r="679" ht="48.0"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row>
    <row r="680" ht="48.0"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row>
    <row r="681" ht="48.0"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row>
    <row r="682" ht="48.0"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row>
    <row r="683" ht="48.0"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row>
    <row r="684" ht="48.0"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row>
    <row r="685" ht="48.0"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row>
    <row r="686" ht="48.0"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row>
    <row r="687" ht="48.0"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row>
    <row r="688" ht="48.0"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row>
    <row r="689" ht="48.0"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row>
    <row r="690" ht="48.0"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row>
    <row r="691" ht="48.0"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row>
    <row r="692" ht="48.0"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row>
    <row r="693" ht="48.0"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row>
    <row r="694" ht="48.0"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row>
    <row r="695" ht="48.0"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row>
    <row r="696" ht="48.0"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row>
    <row r="697" ht="48.0"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row>
    <row r="698" ht="48.0"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row>
    <row r="699" ht="48.0"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row>
    <row r="700" ht="48.0"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row>
    <row r="701" ht="48.0"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row>
    <row r="702" ht="48.0"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row>
    <row r="703" ht="48.0"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row>
    <row r="704" ht="48.0"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row>
    <row r="705" ht="48.0"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row>
    <row r="706" ht="48.0"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row>
    <row r="707" ht="48.0"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row>
    <row r="708" ht="48.0"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row>
    <row r="709" ht="48.0"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row>
    <row r="710" ht="48.0"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row>
    <row r="711" ht="48.0"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row>
    <row r="712" ht="48.0"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row>
    <row r="713" ht="48.0"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row>
    <row r="714" ht="48.0"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row>
    <row r="715" ht="48.0"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row>
    <row r="716" ht="48.0"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row>
    <row r="717" ht="48.0"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row>
    <row r="718" ht="48.0"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row>
    <row r="719" ht="48.0"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row>
    <row r="720" ht="48.0"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row>
    <row r="721" ht="48.0"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row>
    <row r="722" ht="48.0"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row>
    <row r="723" ht="48.0"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row>
    <row r="724" ht="48.0"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row>
    <row r="725" ht="48.0"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row>
    <row r="726" ht="48.0"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row>
    <row r="727" ht="48.0"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row>
    <row r="728" ht="48.0"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row>
    <row r="729" ht="48.0"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row>
    <row r="730" ht="48.0"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row>
    <row r="731" ht="48.0"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row>
    <row r="732" ht="48.0"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row>
    <row r="733" ht="48.0"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row>
    <row r="734" ht="48.0"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row>
    <row r="735" ht="48.0"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row>
    <row r="736" ht="48.0"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row>
    <row r="737" ht="48.0"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row>
    <row r="738" ht="48.0"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row>
    <row r="739" ht="48.0"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row>
    <row r="740" ht="48.0"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row>
    <row r="741" ht="48.0"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row>
    <row r="742" ht="48.0"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row>
    <row r="743" ht="48.0"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row>
    <row r="744" ht="48.0"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row>
    <row r="745" ht="48.0"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row>
    <row r="746" ht="48.0"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row>
    <row r="747" ht="48.0"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row>
    <row r="748" ht="48.0"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row>
    <row r="749" ht="48.0"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row>
    <row r="750" ht="48.0"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row>
    <row r="751" ht="48.0"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row>
    <row r="752" ht="48.0"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row>
    <row r="753" ht="48.0"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row>
    <row r="754" ht="48.0"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row>
    <row r="755" ht="48.0"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row>
    <row r="756" ht="48.0"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row>
    <row r="757" ht="48.0"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row>
    <row r="758" ht="48.0"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row>
    <row r="759" ht="48.0"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row>
    <row r="760" ht="48.0"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row>
    <row r="761" ht="48.0"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row>
    <row r="762" ht="48.0"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row>
    <row r="763" ht="48.0"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row>
    <row r="764" ht="48.0"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row>
    <row r="765" ht="48.0"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row>
    <row r="766" ht="48.0"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row>
    <row r="767" ht="48.0"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row>
    <row r="768" ht="48.0"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row>
    <row r="769" ht="48.0"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row>
    <row r="770" ht="48.0"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row>
    <row r="771" ht="48.0"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row>
    <row r="772" ht="48.0"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row>
    <row r="773" ht="48.0"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row>
    <row r="774" ht="48.0"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row>
    <row r="775" ht="48.0"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row>
    <row r="776" ht="48.0"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row>
    <row r="777" ht="48.0"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row>
    <row r="778" ht="48.0"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row>
    <row r="779" ht="48.0"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row>
    <row r="780" ht="48.0"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row>
    <row r="781" ht="48.0"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row>
    <row r="782" ht="48.0"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row>
    <row r="783" ht="48.0"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row>
    <row r="784" ht="48.0"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row>
    <row r="785" ht="48.0"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row>
    <row r="786" ht="48.0"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row>
    <row r="787" ht="48.0"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row>
    <row r="788" ht="48.0"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row>
    <row r="789" ht="48.0"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row>
    <row r="790" ht="48.0"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row>
    <row r="791" ht="48.0"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row>
    <row r="792" ht="48.0"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row>
    <row r="793" ht="48.0"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row>
    <row r="794" ht="48.0"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row>
    <row r="795" ht="48.0"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row>
    <row r="796" ht="48.0"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row>
    <row r="797" ht="48.0"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row>
    <row r="798" ht="48.0"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row>
    <row r="799" ht="48.0"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row>
    <row r="800" ht="48.0"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row>
    <row r="801" ht="48.0"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row>
    <row r="802" ht="48.0"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row>
    <row r="803" ht="48.0"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row>
    <row r="804" ht="48.0"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row>
    <row r="805" ht="48.0"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row>
    <row r="806" ht="48.0"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row>
    <row r="807" ht="48.0"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row>
    <row r="808" ht="48.0"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row>
    <row r="809" ht="48.0"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row>
    <row r="810" ht="48.0"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row>
    <row r="811" ht="48.0"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row>
    <row r="812" ht="48.0"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row>
    <row r="813" ht="48.0"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row>
    <row r="814" ht="48.0"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row>
    <row r="815" ht="48.0"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row>
    <row r="816" ht="48.0"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row>
    <row r="817" ht="48.0"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row>
    <row r="818" ht="48.0"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row>
    <row r="819" ht="48.0"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row>
    <row r="820" ht="48.0"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row>
    <row r="821" ht="48.0"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row>
    <row r="822" ht="48.0"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row>
    <row r="823" ht="48.0"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row>
    <row r="824" ht="48.0"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row>
    <row r="825" ht="48.0"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row>
    <row r="826" ht="48.0"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row>
    <row r="827" ht="48.0"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row>
    <row r="828" ht="48.0"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row>
    <row r="829" ht="48.0"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row>
    <row r="830" ht="48.0"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row>
    <row r="831" ht="48.0"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row>
    <row r="832" ht="48.0"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row>
    <row r="833" ht="48.0"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row>
    <row r="834" ht="48.0"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row>
    <row r="835" ht="48.0"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row>
    <row r="836" ht="48.0"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row>
    <row r="837" ht="48.0"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row>
    <row r="838" ht="48.0"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row>
    <row r="839" ht="48.0"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row>
    <row r="840" ht="48.0"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row>
    <row r="841" ht="48.0"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row>
    <row r="842" ht="48.0"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row>
    <row r="843" ht="48.0"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row>
    <row r="844" ht="48.0"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row>
    <row r="845" ht="48.0"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row>
    <row r="846" ht="48.0"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row>
    <row r="847" ht="48.0"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row>
    <row r="848" ht="48.0"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row>
    <row r="849" ht="48.0"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row>
    <row r="850" ht="48.0"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row>
    <row r="851" ht="48.0"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row>
    <row r="852" ht="48.0"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row>
    <row r="853" ht="48.0"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row>
    <row r="854" ht="48.0"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row>
    <row r="855" ht="48.0"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row>
    <row r="856" ht="48.0"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row>
    <row r="857" ht="48.0"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row>
    <row r="858" ht="48.0"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row>
    <row r="859" ht="48.0"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row>
    <row r="860" ht="48.0"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row>
    <row r="861" ht="48.0"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row>
    <row r="862" ht="48.0"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row>
    <row r="863" ht="48.0"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row>
    <row r="864" ht="48.0"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row>
    <row r="865" ht="48.0"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row>
    <row r="866" ht="48.0"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row>
    <row r="867" ht="48.0"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row>
    <row r="868" ht="48.0"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row>
    <row r="869" ht="48.0"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row>
    <row r="870" ht="48.0"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row>
    <row r="871" ht="48.0"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row>
    <row r="872" ht="48.0"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row>
    <row r="873" ht="48.0"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row>
    <row r="874" ht="48.0"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row>
    <row r="875" ht="48.0"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row>
    <row r="876" ht="48.0"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row>
    <row r="877" ht="48.0"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row>
    <row r="878" ht="48.0"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row>
    <row r="879" ht="48.0"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row>
    <row r="880" ht="48.0"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row>
    <row r="881" ht="48.0"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row>
    <row r="882" ht="48.0"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row>
    <row r="883" ht="48.0"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row>
    <row r="884" ht="48.0"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row>
    <row r="885" ht="48.0"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row>
    <row r="886" ht="48.0"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row>
    <row r="887" ht="48.0"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row>
    <row r="888" ht="48.0"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row>
    <row r="889" ht="48.0"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row>
    <row r="890" ht="48.0"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row>
    <row r="891" ht="48.0"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row>
    <row r="892" ht="48.0"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row>
    <row r="893" ht="48.0"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row>
    <row r="894" ht="48.0"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row>
    <row r="895" ht="48.0"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row>
    <row r="896" ht="48.0"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row>
    <row r="897" ht="48.0"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row>
    <row r="898" ht="48.0"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row>
    <row r="899" ht="48.0"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row>
    <row r="900" ht="48.0"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row>
    <row r="901" ht="48.0"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row>
    <row r="902" ht="48.0"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row>
    <row r="903" ht="48.0"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row>
    <row r="904" ht="48.0"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row>
    <row r="905" ht="48.0"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row>
    <row r="906" ht="48.0"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row>
    <row r="907" ht="48.0"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row>
    <row r="908" ht="48.0"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row>
    <row r="909" ht="48.0"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row>
    <row r="910" ht="48.0"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row>
    <row r="911" ht="48.0"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row>
    <row r="912" ht="48.0"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row>
    <row r="913" ht="48.0"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row>
    <row r="914" ht="48.0"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row>
    <row r="915" ht="48.0"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row>
    <row r="916" ht="48.0"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row>
    <row r="917" ht="48.0"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row>
    <row r="918" ht="48.0"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row>
    <row r="919" ht="48.0"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row>
    <row r="920" ht="48.0"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row>
    <row r="921" ht="48.0"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row>
    <row r="922" ht="48.0"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row>
    <row r="923" ht="48.0"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row>
    <row r="924" ht="48.0"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row>
    <row r="925" ht="48.0"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row>
    <row r="926" ht="48.0"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row>
    <row r="927" ht="48.0"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row>
    <row r="928" ht="48.0"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row>
    <row r="929" ht="48.0"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row>
    <row r="930" ht="48.0"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row>
    <row r="931" ht="48.0"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row>
    <row r="932" ht="48.0"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row>
    <row r="933" ht="48.0"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row>
    <row r="934" ht="48.0"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row>
    <row r="935" ht="48.0"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row>
    <row r="936" ht="48.0"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row>
    <row r="937" ht="48.0"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row>
    <row r="938" ht="48.0"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row>
    <row r="939" ht="48.0"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row>
    <row r="940" ht="48.0"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row>
    <row r="941" ht="48.0"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row>
    <row r="942" ht="48.0"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row>
    <row r="943" ht="48.0"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row>
    <row r="944" ht="48.0"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row>
    <row r="945" ht="48.0"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row>
    <row r="946" ht="48.0"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row>
    <row r="947" ht="48.0"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row>
    <row r="948" ht="48.0"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row>
    <row r="949" ht="48.0"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row>
    <row r="950" ht="48.0"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row>
    <row r="951" ht="48.0"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row>
    <row r="952" ht="48.0"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row>
    <row r="953" ht="48.0"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row>
    <row r="954" ht="48.0"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row>
    <row r="955" ht="48.0"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row>
    <row r="956" ht="48.0"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row>
    <row r="957" ht="48.0"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row>
    <row r="958" ht="48.0"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row>
    <row r="959" ht="48.0"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row>
    <row r="960" ht="48.0"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row>
    <row r="961" ht="48.0"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row>
    <row r="962" ht="48.0"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row>
    <row r="963" ht="48.0"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row>
    <row r="964" ht="48.0"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row>
    <row r="965" ht="48.0"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row>
    <row r="966" ht="48.0"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row>
    <row r="967" ht="48.0"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row>
    <row r="968" ht="48.0"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row>
    <row r="969" ht="48.0"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row>
    <row r="970" ht="48.0"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row>
    <row r="971" ht="48.0"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row>
    <row r="972" ht="48.0"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row>
    <row r="973" ht="48.0"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row>
    <row r="974" ht="48.0"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row>
    <row r="975" ht="48.0"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row>
    <row r="976" ht="48.0"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row>
    <row r="977" ht="48.0"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row>
    <row r="978" ht="48.0"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row>
    <row r="979" ht="48.0"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row>
    <row r="980" ht="48.0"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row>
    <row r="981" ht="48.0"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row>
    <row r="982" ht="48.0"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row>
    <row r="983" ht="48.0"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row>
    <row r="984" ht="48.0"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row>
    <row r="985" ht="48.0"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row>
    <row r="986" ht="48.0"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row>
    <row r="987" ht="48.0"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row>
    <row r="988" ht="48.0"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row>
    <row r="989" ht="48.0"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row>
    <row r="990" ht="48.0"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row>
    <row r="991" ht="48.0"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row>
  </sheetData>
  <conditionalFormatting sqref="P2:P203">
    <cfRule type="containsText" dxfId="5" priority="1" operator="containsText" text="REORDER">
      <formula>NOT(ISERROR(SEARCH(("REORDER"),(P2))))</formula>
    </cfRule>
  </conditionalFormatting>
  <dataValidations>
    <dataValidation type="list" allowBlank="1" sqref="B204:B265">
      <formula1>"Stone/Dekton Fab,Metal,Cushion,Delivery,Shop/Facility"</formula1>
    </dataValidation>
    <dataValidation type="list" allowBlank="1" showErrorMessage="1" sqref="B2:B203">
      <formula1>"METAL,CUSHIONS,DEKTON,DELIVERY,OFFICE/FACILITY"</formula1>
    </dataValidation>
    <dataValidation type="list" allowBlank="1" sqref="C2:C203">
      <formula1>"CUTTING (METAL),WELDING,GRINDING,SANDBLAST,POWDER COAT,ASSEMBLY,DELIVERY,CUTTING (FABRIC),SEWING,FILLING,CUTTING (DEKTON),FABRICATION,POLISH,OFFICE/FACILITY"</formula1>
    </dataValidation>
    <dataValidation type="list" allowBlank="1" showErrorMessage="1" sqref="C204:C991">
      <formula1>"Assembly,Cleanup/Finishing,Coring/Drilling,Cutting,Cutting &amp; Grinding,Delivery,Drilling,Equipment Maintenance,Facility Supplies,Finishing,Framing/Welding,General,Gluing/Seaming,Handling/Setting,Labeling,Layout/Measuring,Machine Maintenance,Office Supplies"&amp;",Packaging,Polishing/Edging,Powder Coating,PPE,Sand Blast,Sanding/Grinding,Sealing,Sewing,Surface Prep,Touch-Up,Welding"</formula1>
    </dataValidation>
  </dataValidations>
  <printOptions/>
  <pageMargins bottom="0.3892111368909513" footer="0.0" header="0.0" left="0.29350348027842227" right="0.31264501160092806" top="0.75"/>
  <pageSetup fitToHeight="0" orientation="landscape"/>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outlineLevelCol="7"/>
  <cols>
    <col customWidth="1" min="1" max="1" width="20.0"/>
    <col customWidth="1" min="2" max="2" width="27.57"/>
    <col customWidth="1" min="3" max="3" width="34.29"/>
    <col customWidth="1" min="4" max="4" width="25.71"/>
    <col customWidth="1" min="5" max="5" width="76.14"/>
    <col customWidth="1" min="6" max="6" width="25.71"/>
    <col customWidth="1" min="7" max="7" width="14.29"/>
    <col customWidth="1" min="8" max="8" width="13.29"/>
    <col customWidth="1" min="9" max="9" width="20.0"/>
    <col customWidth="1" min="10" max="10" width="21.0"/>
    <col customWidth="1" min="11" max="11" width="76.14" outlineLevel="7"/>
    <col customWidth="1" min="12" max="26" width="8.71"/>
  </cols>
  <sheetData>
    <row r="1" ht="25.5" customHeight="1">
      <c r="A1" s="7" t="s">
        <v>6</v>
      </c>
      <c r="B1" s="7" t="s">
        <v>9</v>
      </c>
      <c r="C1" s="7" t="s">
        <v>12</v>
      </c>
      <c r="D1" s="7" t="s">
        <v>13</v>
      </c>
      <c r="E1" s="7" t="s">
        <v>15</v>
      </c>
      <c r="F1" s="7" t="s">
        <v>17</v>
      </c>
      <c r="G1" s="7" t="s">
        <v>18</v>
      </c>
      <c r="H1" s="7" t="s">
        <v>20</v>
      </c>
      <c r="I1" s="7" t="s">
        <v>22</v>
      </c>
      <c r="J1" s="7" t="s">
        <v>24</v>
      </c>
      <c r="K1" s="12" t="s">
        <v>28</v>
      </c>
    </row>
    <row r="2" ht="21.75" customHeight="1">
      <c r="A2" s="13">
        <v>45043.0</v>
      </c>
      <c r="B2" s="14" t="s">
        <v>38</v>
      </c>
      <c r="C2" s="14" t="s">
        <v>41</v>
      </c>
      <c r="D2" s="14" t="s">
        <v>42</v>
      </c>
      <c r="E2" s="14" t="s">
        <v>44</v>
      </c>
      <c r="F2" s="14" t="s">
        <v>46</v>
      </c>
      <c r="G2" s="15">
        <v>80.0</v>
      </c>
      <c r="H2" s="15" t="s">
        <v>49</v>
      </c>
      <c r="I2" s="17">
        <v>4.87</v>
      </c>
      <c r="J2" s="17">
        <v>389.6</v>
      </c>
      <c r="K2" s="14"/>
    </row>
    <row r="3" ht="21.75" customHeight="1">
      <c r="A3" s="20">
        <v>45043.0</v>
      </c>
      <c r="B3" s="21" t="s">
        <v>38</v>
      </c>
      <c r="C3" s="21" t="s">
        <v>41</v>
      </c>
      <c r="D3" s="21" t="s">
        <v>42</v>
      </c>
      <c r="E3" s="21" t="s">
        <v>60</v>
      </c>
      <c r="F3" s="21" t="s">
        <v>61</v>
      </c>
      <c r="G3" s="22">
        <v>60.0</v>
      </c>
      <c r="H3" s="22" t="s">
        <v>49</v>
      </c>
      <c r="I3" s="23">
        <v>3.58</v>
      </c>
      <c r="J3" s="23">
        <v>214.8</v>
      </c>
      <c r="K3" s="21"/>
    </row>
    <row r="4" ht="21.75" customHeight="1">
      <c r="A4" s="20">
        <v>45079.0</v>
      </c>
      <c r="B4" s="21" t="s">
        <v>63</v>
      </c>
      <c r="C4" s="21" t="s">
        <v>41</v>
      </c>
      <c r="D4" s="21" t="s">
        <v>42</v>
      </c>
      <c r="E4" s="21" t="s">
        <v>64</v>
      </c>
      <c r="F4" s="21" t="s">
        <v>65</v>
      </c>
      <c r="G4" s="22">
        <v>11.088</v>
      </c>
      <c r="H4" s="22" t="s">
        <v>66</v>
      </c>
      <c r="I4" s="24">
        <v>5.3202</v>
      </c>
      <c r="J4" s="23">
        <v>58.99</v>
      </c>
      <c r="K4" s="21"/>
    </row>
    <row r="5" ht="21.75" customHeight="1">
      <c r="A5" s="20">
        <v>45092.0</v>
      </c>
      <c r="B5" s="21" t="s">
        <v>67</v>
      </c>
      <c r="C5" s="21" t="s">
        <v>41</v>
      </c>
      <c r="D5" s="21" t="s">
        <v>42</v>
      </c>
      <c r="E5" s="21" t="s">
        <v>68</v>
      </c>
      <c r="F5" s="21" t="s">
        <v>69</v>
      </c>
      <c r="G5" s="22">
        <v>20.0</v>
      </c>
      <c r="H5" s="22" t="s">
        <v>49</v>
      </c>
      <c r="I5" s="23">
        <v>4.03</v>
      </c>
      <c r="J5" s="23">
        <v>80.6</v>
      </c>
      <c r="K5" s="21"/>
    </row>
    <row r="6" ht="21.75" customHeight="1">
      <c r="A6" s="20">
        <v>45132.0</v>
      </c>
      <c r="B6" s="21" t="s">
        <v>70</v>
      </c>
      <c r="C6" s="21" t="s">
        <v>71</v>
      </c>
      <c r="D6" s="21" t="s">
        <v>42</v>
      </c>
      <c r="E6" s="21" t="s">
        <v>72</v>
      </c>
      <c r="F6" s="21"/>
      <c r="G6" s="22">
        <v>1.0</v>
      </c>
      <c r="H6" s="22" t="s">
        <v>73</v>
      </c>
      <c r="I6" s="23">
        <v>-192.42</v>
      </c>
      <c r="J6" s="23">
        <v>-192.42</v>
      </c>
      <c r="K6" s="21"/>
    </row>
    <row r="7" ht="21.75" customHeight="1">
      <c r="A7" s="20">
        <v>45197.0</v>
      </c>
      <c r="B7" s="21" t="s">
        <v>74</v>
      </c>
      <c r="C7" s="21" t="s">
        <v>71</v>
      </c>
      <c r="D7" s="21" t="s">
        <v>42</v>
      </c>
      <c r="E7" s="21" t="s">
        <v>75</v>
      </c>
      <c r="F7" s="21" t="s">
        <v>76</v>
      </c>
      <c r="G7" s="22">
        <v>2.0</v>
      </c>
      <c r="H7" s="22" t="s">
        <v>66</v>
      </c>
      <c r="I7" s="23">
        <v>6.59</v>
      </c>
      <c r="J7" s="23">
        <v>659.0</v>
      </c>
      <c r="K7" s="21"/>
    </row>
    <row r="8" ht="21.75" customHeight="1">
      <c r="A8" s="20">
        <v>45223.0</v>
      </c>
      <c r="B8" s="21" t="s">
        <v>77</v>
      </c>
      <c r="C8" s="21" t="s">
        <v>78</v>
      </c>
      <c r="D8" s="21" t="s">
        <v>42</v>
      </c>
      <c r="E8" s="21" t="s">
        <v>79</v>
      </c>
      <c r="F8" s="21" t="s">
        <v>80</v>
      </c>
      <c r="G8" s="22">
        <v>64.0</v>
      </c>
      <c r="H8" s="22" t="s">
        <v>81</v>
      </c>
      <c r="I8" s="23">
        <v>1.75</v>
      </c>
      <c r="J8" s="23">
        <v>2240.0</v>
      </c>
      <c r="K8" s="21"/>
    </row>
    <row r="9" ht="21.75" customHeight="1">
      <c r="A9" s="20">
        <v>45223.0</v>
      </c>
      <c r="B9" s="21" t="s">
        <v>77</v>
      </c>
      <c r="C9" s="21" t="s">
        <v>78</v>
      </c>
      <c r="D9" s="21" t="s">
        <v>42</v>
      </c>
      <c r="E9" s="21" t="s">
        <v>82</v>
      </c>
      <c r="F9" s="21" t="s">
        <v>83</v>
      </c>
      <c r="G9" s="22">
        <v>1.0</v>
      </c>
      <c r="H9" s="22" t="s">
        <v>81</v>
      </c>
      <c r="I9" s="23">
        <v>10.0</v>
      </c>
      <c r="J9" s="23">
        <v>10.0</v>
      </c>
      <c r="K9" s="21"/>
    </row>
    <row r="10" ht="21.75" customHeight="1">
      <c r="A10" s="20">
        <v>45224.0</v>
      </c>
      <c r="B10" s="21" t="s">
        <v>84</v>
      </c>
      <c r="C10" s="21" t="s">
        <v>78</v>
      </c>
      <c r="D10" s="21" t="s">
        <v>42</v>
      </c>
      <c r="E10" s="21" t="s">
        <v>85</v>
      </c>
      <c r="F10" s="21" t="s">
        <v>86</v>
      </c>
      <c r="G10" s="22">
        <v>10.0</v>
      </c>
      <c r="H10" s="22" t="s">
        <v>81</v>
      </c>
      <c r="I10" s="23">
        <v>0.69</v>
      </c>
      <c r="J10" s="23">
        <v>138.0</v>
      </c>
      <c r="K10" s="21"/>
    </row>
    <row r="11" ht="21.75" customHeight="1">
      <c r="A11" s="20">
        <v>45224.0</v>
      </c>
      <c r="B11" s="21" t="s">
        <v>84</v>
      </c>
      <c r="C11" s="21" t="s">
        <v>78</v>
      </c>
      <c r="D11" s="21" t="s">
        <v>42</v>
      </c>
      <c r="E11" s="21" t="s">
        <v>87</v>
      </c>
      <c r="F11" s="21" t="s">
        <v>88</v>
      </c>
      <c r="G11" s="22">
        <v>20.0</v>
      </c>
      <c r="H11" s="22" t="s">
        <v>81</v>
      </c>
      <c r="I11" s="23">
        <v>2.14</v>
      </c>
      <c r="J11" s="23">
        <v>856.0</v>
      </c>
      <c r="K11" s="21"/>
    </row>
    <row r="12" ht="21.75" customHeight="1">
      <c r="A12" s="20">
        <v>45224.0</v>
      </c>
      <c r="B12" s="21" t="s">
        <v>84</v>
      </c>
      <c r="C12" s="21" t="s">
        <v>78</v>
      </c>
      <c r="D12" s="21" t="s">
        <v>42</v>
      </c>
      <c r="E12" s="21" t="s">
        <v>89</v>
      </c>
      <c r="F12" s="21" t="s">
        <v>90</v>
      </c>
      <c r="G12" s="22">
        <v>5.0</v>
      </c>
      <c r="H12" s="22" t="s">
        <v>81</v>
      </c>
      <c r="I12" s="23">
        <v>0.75</v>
      </c>
      <c r="J12" s="23">
        <v>75.0</v>
      </c>
      <c r="K12" s="21"/>
    </row>
    <row r="13" ht="21.75" customHeight="1">
      <c r="A13" s="20">
        <v>45224.0</v>
      </c>
      <c r="B13" s="21" t="s">
        <v>92</v>
      </c>
      <c r="C13" s="21" t="s">
        <v>78</v>
      </c>
      <c r="D13" s="21" t="s">
        <v>42</v>
      </c>
      <c r="E13" s="21" t="s">
        <v>93</v>
      </c>
      <c r="F13" s="21" t="s">
        <v>94</v>
      </c>
      <c r="G13" s="22">
        <v>1.0</v>
      </c>
      <c r="H13" s="22" t="s">
        <v>95</v>
      </c>
      <c r="I13" s="23">
        <v>882.0</v>
      </c>
      <c r="J13" s="23">
        <v>882.0</v>
      </c>
      <c r="K13" s="21"/>
    </row>
    <row r="14" ht="21.75" customHeight="1">
      <c r="A14" s="20">
        <v>45224.0</v>
      </c>
      <c r="B14" s="21" t="s">
        <v>92</v>
      </c>
      <c r="C14" s="21" t="s">
        <v>78</v>
      </c>
      <c r="D14" s="21" t="s">
        <v>42</v>
      </c>
      <c r="E14" s="21" t="s">
        <v>96</v>
      </c>
      <c r="F14" s="21" t="s">
        <v>94</v>
      </c>
      <c r="G14" s="22">
        <v>1.0</v>
      </c>
      <c r="H14" s="22" t="s">
        <v>95</v>
      </c>
      <c r="I14" s="23">
        <v>2520.0</v>
      </c>
      <c r="J14" s="23">
        <v>2520.0</v>
      </c>
      <c r="K14" s="21"/>
    </row>
    <row r="15" ht="21.75" customHeight="1">
      <c r="A15" s="20">
        <v>45224.0</v>
      </c>
      <c r="B15" s="21" t="s">
        <v>92</v>
      </c>
      <c r="C15" s="21" t="s">
        <v>78</v>
      </c>
      <c r="D15" s="21" t="s">
        <v>42</v>
      </c>
      <c r="E15" s="21" t="s">
        <v>97</v>
      </c>
      <c r="F15" s="21" t="s">
        <v>94</v>
      </c>
      <c r="G15" s="22">
        <v>1.0</v>
      </c>
      <c r="H15" s="22" t="s">
        <v>95</v>
      </c>
      <c r="I15" s="23">
        <v>8820.0</v>
      </c>
      <c r="J15" s="23">
        <v>8820.0</v>
      </c>
      <c r="K15" s="21"/>
    </row>
    <row r="16" ht="21.75" customHeight="1">
      <c r="A16" s="20">
        <v>45224.0</v>
      </c>
      <c r="B16" s="21" t="s">
        <v>92</v>
      </c>
      <c r="C16" s="21" t="s">
        <v>78</v>
      </c>
      <c r="D16" s="21" t="s">
        <v>42</v>
      </c>
      <c r="E16" s="21" t="s">
        <v>99</v>
      </c>
      <c r="F16" s="21" t="s">
        <v>94</v>
      </c>
      <c r="G16" s="22">
        <v>1.0</v>
      </c>
      <c r="H16" s="22" t="s">
        <v>95</v>
      </c>
      <c r="I16" s="23">
        <v>3150.0</v>
      </c>
      <c r="J16" s="23">
        <v>3150.0</v>
      </c>
      <c r="K16" s="21"/>
    </row>
    <row r="17" ht="21.75" customHeight="1">
      <c r="A17" s="20">
        <v>45224.0</v>
      </c>
      <c r="B17" s="21" t="s">
        <v>92</v>
      </c>
      <c r="C17" s="21" t="s">
        <v>78</v>
      </c>
      <c r="D17" s="21" t="s">
        <v>42</v>
      </c>
      <c r="E17" s="21" t="s">
        <v>102</v>
      </c>
      <c r="F17" s="21" t="s">
        <v>94</v>
      </c>
      <c r="G17" s="22">
        <v>1.0</v>
      </c>
      <c r="H17" s="22" t="s">
        <v>95</v>
      </c>
      <c r="I17" s="23">
        <v>3510.0</v>
      </c>
      <c r="J17" s="23">
        <v>3510.0</v>
      </c>
      <c r="K17" s="21" t="s">
        <v>104</v>
      </c>
    </row>
    <row r="18" ht="21.75" customHeight="1">
      <c r="A18" s="20">
        <v>45224.0</v>
      </c>
      <c r="B18" s="21" t="s">
        <v>92</v>
      </c>
      <c r="C18" s="21" t="s">
        <v>78</v>
      </c>
      <c r="D18" s="21" t="s">
        <v>42</v>
      </c>
      <c r="E18" s="21" t="s">
        <v>106</v>
      </c>
      <c r="F18" s="21" t="s">
        <v>94</v>
      </c>
      <c r="G18" s="22">
        <v>1.0</v>
      </c>
      <c r="H18" s="22" t="s">
        <v>95</v>
      </c>
      <c r="I18" s="23">
        <v>1732.5</v>
      </c>
      <c r="J18" s="23">
        <v>1732.5</v>
      </c>
      <c r="K18" s="21" t="s">
        <v>104</v>
      </c>
    </row>
    <row r="19" ht="21.75" customHeight="1">
      <c r="A19" s="20">
        <v>45225.0</v>
      </c>
      <c r="B19" s="21" t="s">
        <v>107</v>
      </c>
      <c r="C19" s="21" t="s">
        <v>78</v>
      </c>
      <c r="D19" s="21" t="s">
        <v>42</v>
      </c>
      <c r="E19" s="21" t="s">
        <v>108</v>
      </c>
      <c r="F19" s="21" t="s">
        <v>109</v>
      </c>
      <c r="G19" s="22">
        <v>1.0</v>
      </c>
      <c r="H19" s="22" t="s">
        <v>81</v>
      </c>
      <c r="I19" s="23">
        <v>143.55</v>
      </c>
      <c r="J19" s="23">
        <v>143.55</v>
      </c>
      <c r="K19" s="21" t="s">
        <v>104</v>
      </c>
    </row>
    <row r="20" ht="21.75" customHeight="1">
      <c r="A20" s="20">
        <v>45225.0</v>
      </c>
      <c r="B20" s="21" t="s">
        <v>112</v>
      </c>
      <c r="C20" s="21" t="s">
        <v>78</v>
      </c>
      <c r="D20" s="21" t="s">
        <v>42</v>
      </c>
      <c r="E20" s="21" t="s">
        <v>113</v>
      </c>
      <c r="F20" s="21" t="s">
        <v>114</v>
      </c>
      <c r="G20" s="22">
        <v>6.0</v>
      </c>
      <c r="H20" s="22" t="s">
        <v>81</v>
      </c>
      <c r="I20" s="23">
        <v>1.06</v>
      </c>
      <c r="J20" s="23">
        <v>127.2</v>
      </c>
      <c r="K20" s="21" t="s">
        <v>104</v>
      </c>
    </row>
    <row r="21" ht="21.75" customHeight="1">
      <c r="A21" s="20">
        <v>45225.0</v>
      </c>
      <c r="B21" s="21" t="s">
        <v>112</v>
      </c>
      <c r="C21" s="21" t="s">
        <v>78</v>
      </c>
      <c r="D21" s="21" t="s">
        <v>42</v>
      </c>
      <c r="E21" s="21" t="s">
        <v>115</v>
      </c>
      <c r="F21" s="21" t="s">
        <v>116</v>
      </c>
      <c r="G21" s="22">
        <v>10.0</v>
      </c>
      <c r="H21" s="22" t="s">
        <v>81</v>
      </c>
      <c r="I21" s="23">
        <v>1.32</v>
      </c>
      <c r="J21" s="23">
        <v>264.0</v>
      </c>
      <c r="K21" s="21" t="s">
        <v>104</v>
      </c>
    </row>
    <row r="22" ht="21.75" customHeight="1">
      <c r="A22" s="20">
        <v>45225.0</v>
      </c>
      <c r="B22" s="21" t="s">
        <v>112</v>
      </c>
      <c r="C22" s="21" t="s">
        <v>78</v>
      </c>
      <c r="D22" s="21" t="s">
        <v>42</v>
      </c>
      <c r="E22" s="21" t="s">
        <v>79</v>
      </c>
      <c r="F22" s="21" t="s">
        <v>80</v>
      </c>
      <c r="G22" s="22">
        <v>64.0</v>
      </c>
      <c r="H22" s="22" t="s">
        <v>81</v>
      </c>
      <c r="I22" s="23">
        <v>1.75</v>
      </c>
      <c r="J22" s="23">
        <v>2240.0</v>
      </c>
      <c r="K22" s="21" t="s">
        <v>104</v>
      </c>
    </row>
    <row r="23" ht="21.75" customHeight="1">
      <c r="A23" s="20">
        <v>45225.0</v>
      </c>
      <c r="B23" s="21" t="s">
        <v>112</v>
      </c>
      <c r="C23" s="21" t="s">
        <v>78</v>
      </c>
      <c r="D23" s="21" t="s">
        <v>42</v>
      </c>
      <c r="E23" s="21" t="s">
        <v>82</v>
      </c>
      <c r="F23" s="21" t="s">
        <v>83</v>
      </c>
      <c r="G23" s="22">
        <v>1.0</v>
      </c>
      <c r="H23" s="22" t="s">
        <v>81</v>
      </c>
      <c r="I23" s="23">
        <v>10.0</v>
      </c>
      <c r="J23" s="23">
        <v>10.0</v>
      </c>
      <c r="K23" s="21" t="s">
        <v>104</v>
      </c>
    </row>
    <row r="24" ht="21.75" customHeight="1">
      <c r="A24" s="20">
        <v>45230.0</v>
      </c>
      <c r="B24" s="21" t="s">
        <v>118</v>
      </c>
      <c r="C24" s="21" t="s">
        <v>78</v>
      </c>
      <c r="D24" s="21" t="s">
        <v>42</v>
      </c>
      <c r="E24" s="21" t="s">
        <v>119</v>
      </c>
      <c r="F24" s="21" t="s">
        <v>120</v>
      </c>
      <c r="G24" s="22">
        <v>5.0</v>
      </c>
      <c r="H24" s="22" t="s">
        <v>81</v>
      </c>
      <c r="I24" s="23">
        <v>2.69</v>
      </c>
      <c r="J24" s="23">
        <v>269.0</v>
      </c>
      <c r="K24" s="21" t="s">
        <v>104</v>
      </c>
    </row>
    <row r="25" ht="21.75" customHeight="1">
      <c r="A25" s="20">
        <v>45230.0</v>
      </c>
      <c r="B25" s="21" t="s">
        <v>118</v>
      </c>
      <c r="C25" s="21" t="s">
        <v>78</v>
      </c>
      <c r="D25" s="21" t="s">
        <v>42</v>
      </c>
      <c r="E25" s="21" t="s">
        <v>122</v>
      </c>
      <c r="F25" s="21" t="s">
        <v>123</v>
      </c>
      <c r="G25" s="22">
        <v>5.0</v>
      </c>
      <c r="H25" s="22" t="s">
        <v>81</v>
      </c>
      <c r="I25" s="23">
        <v>3.6</v>
      </c>
      <c r="J25" s="23">
        <v>360.0</v>
      </c>
      <c r="K25" s="21" t="s">
        <v>104</v>
      </c>
    </row>
    <row r="26" ht="21.75" customHeight="1">
      <c r="A26" s="20">
        <v>45230.0</v>
      </c>
      <c r="B26" s="21" t="s">
        <v>118</v>
      </c>
      <c r="C26" s="21" t="s">
        <v>78</v>
      </c>
      <c r="D26" s="21" t="s">
        <v>42</v>
      </c>
      <c r="E26" s="21" t="s">
        <v>82</v>
      </c>
      <c r="F26" s="21" t="s">
        <v>83</v>
      </c>
      <c r="G26" s="22">
        <v>1.0</v>
      </c>
      <c r="H26" s="22" t="s">
        <v>81</v>
      </c>
      <c r="I26" s="23">
        <v>10.0</v>
      </c>
      <c r="J26" s="23">
        <v>10.0</v>
      </c>
      <c r="K26" s="21" t="s">
        <v>104</v>
      </c>
    </row>
    <row r="27" ht="21.75" customHeight="1">
      <c r="A27" s="20">
        <v>45231.0</v>
      </c>
      <c r="B27" s="21" t="s">
        <v>126</v>
      </c>
      <c r="C27" s="21" t="s">
        <v>78</v>
      </c>
      <c r="D27" s="21" t="s">
        <v>42</v>
      </c>
      <c r="E27" s="21" t="s">
        <v>128</v>
      </c>
      <c r="F27" s="21" t="s">
        <v>129</v>
      </c>
      <c r="G27" s="22">
        <v>70.0</v>
      </c>
      <c r="H27" s="22" t="s">
        <v>81</v>
      </c>
      <c r="I27" s="23">
        <v>0.98</v>
      </c>
      <c r="J27" s="23">
        <v>1372.0</v>
      </c>
      <c r="K27" s="21" t="s">
        <v>104</v>
      </c>
    </row>
    <row r="28" ht="21.75" customHeight="1">
      <c r="A28" s="20">
        <v>45231.0</v>
      </c>
      <c r="B28" s="21" t="s">
        <v>126</v>
      </c>
      <c r="C28" s="21" t="s">
        <v>78</v>
      </c>
      <c r="D28" s="21" t="s">
        <v>42</v>
      </c>
      <c r="E28" s="21" t="s">
        <v>131</v>
      </c>
      <c r="F28" s="21" t="s">
        <v>132</v>
      </c>
      <c r="G28" s="22">
        <v>20.0</v>
      </c>
      <c r="H28" s="22" t="s">
        <v>81</v>
      </c>
      <c r="I28" s="23">
        <v>0.94</v>
      </c>
      <c r="J28" s="23">
        <v>376.0</v>
      </c>
      <c r="K28" s="21" t="s">
        <v>104</v>
      </c>
    </row>
    <row r="29" ht="21.75" customHeight="1">
      <c r="A29" s="20">
        <v>45231.0</v>
      </c>
      <c r="B29" s="21" t="s">
        <v>126</v>
      </c>
      <c r="C29" s="21" t="s">
        <v>78</v>
      </c>
      <c r="D29" s="21" t="s">
        <v>42</v>
      </c>
      <c r="E29" s="21" t="s">
        <v>133</v>
      </c>
      <c r="F29" s="21" t="s">
        <v>134</v>
      </c>
      <c r="G29" s="22">
        <v>5.0</v>
      </c>
      <c r="H29" s="22" t="s">
        <v>81</v>
      </c>
      <c r="I29" s="23">
        <v>116.1</v>
      </c>
      <c r="J29" s="23">
        <v>580.5</v>
      </c>
      <c r="K29" s="21" t="s">
        <v>104</v>
      </c>
    </row>
    <row r="30" ht="21.75" customHeight="1">
      <c r="A30" s="20">
        <v>45231.0</v>
      </c>
      <c r="B30" s="21" t="s">
        <v>126</v>
      </c>
      <c r="C30" s="21" t="s">
        <v>78</v>
      </c>
      <c r="D30" s="21" t="s">
        <v>42</v>
      </c>
      <c r="E30" s="21" t="s">
        <v>137</v>
      </c>
      <c r="F30" s="21" t="s">
        <v>138</v>
      </c>
      <c r="G30" s="22">
        <v>2.0</v>
      </c>
      <c r="H30" s="22" t="s">
        <v>81</v>
      </c>
      <c r="I30" s="23">
        <v>2.64</v>
      </c>
      <c r="J30" s="23">
        <v>105.6</v>
      </c>
      <c r="K30" s="21" t="s">
        <v>104</v>
      </c>
    </row>
    <row r="31" ht="21.75" customHeight="1">
      <c r="A31" s="20">
        <v>45231.0</v>
      </c>
      <c r="B31" s="21" t="s">
        <v>126</v>
      </c>
      <c r="C31" s="21" t="s">
        <v>78</v>
      </c>
      <c r="D31" s="21" t="s">
        <v>42</v>
      </c>
      <c r="E31" s="21" t="s">
        <v>82</v>
      </c>
      <c r="F31" s="21" t="s">
        <v>83</v>
      </c>
      <c r="G31" s="22">
        <v>1.0</v>
      </c>
      <c r="H31" s="22" t="s">
        <v>81</v>
      </c>
      <c r="I31" s="23">
        <v>10.0</v>
      </c>
      <c r="J31" s="23">
        <v>10.0</v>
      </c>
      <c r="K31" s="21" t="s">
        <v>104</v>
      </c>
    </row>
    <row r="32" ht="21.75" customHeight="1">
      <c r="A32" s="20">
        <v>45233.0</v>
      </c>
      <c r="B32" s="21" t="s">
        <v>144</v>
      </c>
      <c r="C32" s="21" t="s">
        <v>78</v>
      </c>
      <c r="D32" s="21" t="s">
        <v>42</v>
      </c>
      <c r="E32" s="21" t="s">
        <v>147</v>
      </c>
      <c r="F32" s="21" t="s">
        <v>149</v>
      </c>
      <c r="G32" s="22">
        <v>5.0</v>
      </c>
      <c r="H32" s="22" t="s">
        <v>81</v>
      </c>
      <c r="I32" s="23">
        <v>2.21</v>
      </c>
      <c r="J32" s="23">
        <v>221.0</v>
      </c>
      <c r="K32" s="21" t="s">
        <v>104</v>
      </c>
    </row>
    <row r="33" ht="21.75" customHeight="1">
      <c r="A33" s="20">
        <v>45233.0</v>
      </c>
      <c r="B33" s="21" t="s">
        <v>144</v>
      </c>
      <c r="C33" s="21" t="s">
        <v>78</v>
      </c>
      <c r="D33" s="21" t="s">
        <v>42</v>
      </c>
      <c r="E33" s="21" t="s">
        <v>82</v>
      </c>
      <c r="F33" s="21" t="s">
        <v>83</v>
      </c>
      <c r="G33" s="22">
        <v>1.0</v>
      </c>
      <c r="H33" s="22" t="s">
        <v>81</v>
      </c>
      <c r="I33" s="23">
        <v>10.0</v>
      </c>
      <c r="J33" s="23">
        <v>10.0</v>
      </c>
      <c r="K33" s="21" t="s">
        <v>104</v>
      </c>
    </row>
    <row r="34" ht="21.75" customHeight="1">
      <c r="A34" s="20">
        <v>45237.0</v>
      </c>
      <c r="B34" s="21" t="s">
        <v>159</v>
      </c>
      <c r="C34" s="21" t="s">
        <v>78</v>
      </c>
      <c r="D34" s="21" t="s">
        <v>42</v>
      </c>
      <c r="E34" s="21" t="s">
        <v>161</v>
      </c>
      <c r="F34" s="21" t="s">
        <v>163</v>
      </c>
      <c r="G34" s="22">
        <v>1.0</v>
      </c>
      <c r="H34" s="22" t="s">
        <v>81</v>
      </c>
      <c r="I34" s="23">
        <v>753.6</v>
      </c>
      <c r="J34" s="23">
        <v>753.6</v>
      </c>
      <c r="K34" s="21" t="s">
        <v>104</v>
      </c>
    </row>
    <row r="35" ht="21.75" customHeight="1">
      <c r="A35" s="20">
        <v>45243.0</v>
      </c>
      <c r="B35" s="21" t="s">
        <v>164</v>
      </c>
      <c r="C35" s="21" t="s">
        <v>78</v>
      </c>
      <c r="D35" s="21" t="s">
        <v>42</v>
      </c>
      <c r="E35" s="21" t="s">
        <v>165</v>
      </c>
      <c r="F35" s="21" t="s">
        <v>166</v>
      </c>
      <c r="G35" s="22">
        <v>27.0</v>
      </c>
      <c r="H35" s="22" t="s">
        <v>81</v>
      </c>
      <c r="I35" s="23">
        <v>5.63</v>
      </c>
      <c r="J35" s="23">
        <v>3040.2</v>
      </c>
      <c r="K35" s="21" t="s">
        <v>104</v>
      </c>
    </row>
    <row r="36" ht="21.75" customHeight="1">
      <c r="A36" s="20">
        <v>45243.0</v>
      </c>
      <c r="B36" s="21" t="s">
        <v>168</v>
      </c>
      <c r="C36" s="21" t="s">
        <v>78</v>
      </c>
      <c r="D36" s="21" t="s">
        <v>42</v>
      </c>
      <c r="E36" s="21" t="s">
        <v>169</v>
      </c>
      <c r="F36" s="21" t="s">
        <v>170</v>
      </c>
      <c r="G36" s="22">
        <v>20.0</v>
      </c>
      <c r="H36" s="22" t="s">
        <v>81</v>
      </c>
      <c r="I36" s="23">
        <v>3.72</v>
      </c>
      <c r="J36" s="23">
        <v>2976.0</v>
      </c>
      <c r="K36" s="21" t="s">
        <v>104</v>
      </c>
    </row>
    <row r="37" ht="21.75" customHeight="1">
      <c r="A37" s="20">
        <v>45243.0</v>
      </c>
      <c r="B37" s="21" t="s">
        <v>168</v>
      </c>
      <c r="C37" s="21" t="s">
        <v>78</v>
      </c>
      <c r="D37" s="21" t="s">
        <v>42</v>
      </c>
      <c r="E37" s="21" t="s">
        <v>171</v>
      </c>
      <c r="F37" s="21" t="s">
        <v>172</v>
      </c>
      <c r="G37" s="22">
        <v>0.0</v>
      </c>
      <c r="H37" s="22" t="s">
        <v>81</v>
      </c>
      <c r="I37" s="23">
        <v>1.11</v>
      </c>
      <c r="J37" s="23">
        <v>0.0</v>
      </c>
      <c r="K37" s="21" t="s">
        <v>104</v>
      </c>
    </row>
    <row r="38" ht="21.75" customHeight="1">
      <c r="A38" s="20">
        <v>45243.0</v>
      </c>
      <c r="B38" s="21" t="s">
        <v>168</v>
      </c>
      <c r="C38" s="21" t="s">
        <v>78</v>
      </c>
      <c r="D38" s="21" t="s">
        <v>42</v>
      </c>
      <c r="E38" s="21" t="s">
        <v>180</v>
      </c>
      <c r="F38" s="21" t="s">
        <v>181</v>
      </c>
      <c r="G38" s="22">
        <v>0.0</v>
      </c>
      <c r="H38" s="22" t="s">
        <v>81</v>
      </c>
      <c r="I38" s="23">
        <v>2.42</v>
      </c>
      <c r="J38" s="23">
        <v>0.0</v>
      </c>
      <c r="K38" s="21" t="s">
        <v>104</v>
      </c>
    </row>
    <row r="39" ht="21.75" customHeight="1">
      <c r="A39" s="20">
        <v>45243.0</v>
      </c>
      <c r="B39" s="21" t="s">
        <v>168</v>
      </c>
      <c r="C39" s="21" t="s">
        <v>78</v>
      </c>
      <c r="D39" s="21" t="s">
        <v>42</v>
      </c>
      <c r="E39" s="21" t="s">
        <v>183</v>
      </c>
      <c r="F39" s="21" t="s">
        <v>185</v>
      </c>
      <c r="G39" s="22">
        <v>0.0</v>
      </c>
      <c r="H39" s="22" t="s">
        <v>81</v>
      </c>
      <c r="I39" s="23">
        <v>8.53</v>
      </c>
      <c r="J39" s="23">
        <v>0.0</v>
      </c>
      <c r="K39" s="21" t="s">
        <v>104</v>
      </c>
    </row>
    <row r="40" ht="21.75" customHeight="1">
      <c r="A40" s="20">
        <v>45243.0</v>
      </c>
      <c r="B40" s="21" t="s">
        <v>187</v>
      </c>
      <c r="C40" s="21" t="s">
        <v>78</v>
      </c>
      <c r="D40" s="21" t="s">
        <v>42</v>
      </c>
      <c r="E40" s="21" t="s">
        <v>189</v>
      </c>
      <c r="F40" s="21" t="s">
        <v>190</v>
      </c>
      <c r="G40" s="22">
        <v>64.0</v>
      </c>
      <c r="H40" s="22" t="s">
        <v>81</v>
      </c>
      <c r="I40" s="23">
        <v>1.37</v>
      </c>
      <c r="J40" s="23">
        <v>1753.6</v>
      </c>
      <c r="K40" s="21" t="s">
        <v>104</v>
      </c>
    </row>
    <row r="41" ht="21.75" customHeight="1">
      <c r="A41" s="20">
        <v>45243.0</v>
      </c>
      <c r="B41" s="21" t="s">
        <v>187</v>
      </c>
      <c r="C41" s="21" t="s">
        <v>78</v>
      </c>
      <c r="D41" s="21" t="s">
        <v>42</v>
      </c>
      <c r="E41" s="21" t="s">
        <v>193</v>
      </c>
      <c r="F41" s="21" t="s">
        <v>195</v>
      </c>
      <c r="G41" s="22">
        <v>30.0</v>
      </c>
      <c r="H41" s="22" t="s">
        <v>81</v>
      </c>
      <c r="I41" s="23">
        <v>0.96</v>
      </c>
      <c r="J41" s="23">
        <v>576.0</v>
      </c>
      <c r="K41" s="21" t="s">
        <v>104</v>
      </c>
    </row>
    <row r="42" ht="21.75" customHeight="1">
      <c r="A42" s="20">
        <v>45243.0</v>
      </c>
      <c r="B42" s="21" t="s">
        <v>187</v>
      </c>
      <c r="C42" s="21" t="s">
        <v>78</v>
      </c>
      <c r="D42" s="21" t="s">
        <v>42</v>
      </c>
      <c r="E42" s="21" t="s">
        <v>119</v>
      </c>
      <c r="F42" s="21" t="s">
        <v>120</v>
      </c>
      <c r="G42" s="22">
        <v>5.0</v>
      </c>
      <c r="H42" s="22" t="s">
        <v>81</v>
      </c>
      <c r="I42" s="23">
        <v>2.83</v>
      </c>
      <c r="J42" s="23">
        <v>283.0</v>
      </c>
      <c r="K42" s="21" t="s">
        <v>104</v>
      </c>
    </row>
    <row r="43" ht="21.75" customHeight="1">
      <c r="A43" s="20">
        <v>45243.0</v>
      </c>
      <c r="B43" s="21" t="s">
        <v>187</v>
      </c>
      <c r="C43" s="21" t="s">
        <v>78</v>
      </c>
      <c r="D43" s="21" t="s">
        <v>42</v>
      </c>
      <c r="E43" s="21" t="s">
        <v>82</v>
      </c>
      <c r="F43" s="21" t="s">
        <v>83</v>
      </c>
      <c r="G43" s="22">
        <v>1.0</v>
      </c>
      <c r="H43" s="22" t="s">
        <v>81</v>
      </c>
      <c r="I43" s="23">
        <v>10.0</v>
      </c>
      <c r="J43" s="23">
        <v>10.0</v>
      </c>
      <c r="K43" s="21" t="s">
        <v>104</v>
      </c>
    </row>
    <row r="44" ht="21.75" customHeight="1">
      <c r="A44" s="20">
        <v>45243.0</v>
      </c>
      <c r="B44" s="21" t="s">
        <v>212</v>
      </c>
      <c r="C44" s="21" t="s">
        <v>78</v>
      </c>
      <c r="D44" s="21" t="s">
        <v>42</v>
      </c>
      <c r="E44" s="21" t="s">
        <v>79</v>
      </c>
      <c r="F44" s="21" t="s">
        <v>80</v>
      </c>
      <c r="G44" s="22">
        <v>64.0</v>
      </c>
      <c r="H44" s="22" t="s">
        <v>81</v>
      </c>
      <c r="I44" s="23">
        <v>1.88</v>
      </c>
      <c r="J44" s="23">
        <v>2887.68</v>
      </c>
      <c r="K44" s="21" t="s">
        <v>104</v>
      </c>
    </row>
    <row r="45" ht="21.75" customHeight="1">
      <c r="A45" s="20">
        <v>45250.0</v>
      </c>
      <c r="B45" s="21" t="s">
        <v>216</v>
      </c>
      <c r="C45" s="21" t="s">
        <v>78</v>
      </c>
      <c r="D45" s="21" t="s">
        <v>42</v>
      </c>
      <c r="E45" s="21" t="s">
        <v>217</v>
      </c>
      <c r="F45" s="21" t="s">
        <v>219</v>
      </c>
      <c r="G45" s="22">
        <v>5.0</v>
      </c>
      <c r="H45" s="22" t="s">
        <v>81</v>
      </c>
      <c r="I45" s="23">
        <v>0.85</v>
      </c>
      <c r="J45" s="23">
        <v>85.0</v>
      </c>
      <c r="K45" s="21" t="s">
        <v>104</v>
      </c>
    </row>
    <row r="46" ht="21.75" customHeight="1">
      <c r="A46" s="20">
        <v>45250.0</v>
      </c>
      <c r="B46" s="21" t="s">
        <v>224</v>
      </c>
      <c r="C46" s="21" t="s">
        <v>78</v>
      </c>
      <c r="D46" s="21" t="s">
        <v>226</v>
      </c>
      <c r="E46" s="21" t="s">
        <v>227</v>
      </c>
      <c r="F46" s="21" t="s">
        <v>228</v>
      </c>
      <c r="G46" s="22">
        <v>600.0</v>
      </c>
      <c r="H46" s="22" t="s">
        <v>66</v>
      </c>
      <c r="I46" s="23">
        <v>1.55</v>
      </c>
      <c r="J46" s="23">
        <v>930.0</v>
      </c>
      <c r="K46" s="21" t="s">
        <v>104</v>
      </c>
    </row>
    <row r="47" ht="21.75" customHeight="1">
      <c r="A47" s="20">
        <v>45257.0</v>
      </c>
      <c r="B47" s="21" t="s">
        <v>232</v>
      </c>
      <c r="C47" s="21" t="s">
        <v>78</v>
      </c>
      <c r="D47" s="21" t="s">
        <v>42</v>
      </c>
      <c r="E47" s="21" t="s">
        <v>233</v>
      </c>
      <c r="F47" s="21" t="s">
        <v>234</v>
      </c>
      <c r="G47" s="22">
        <v>2.0</v>
      </c>
      <c r="H47" s="22" t="s">
        <v>81</v>
      </c>
      <c r="I47" s="23">
        <v>7.58</v>
      </c>
      <c r="J47" s="23">
        <v>303.2</v>
      </c>
      <c r="K47" s="21" t="s">
        <v>104</v>
      </c>
    </row>
    <row r="48" ht="21.75" customHeight="1">
      <c r="A48" s="20">
        <v>45257.0</v>
      </c>
      <c r="B48" s="21" t="s">
        <v>238</v>
      </c>
      <c r="C48" s="21" t="s">
        <v>78</v>
      </c>
      <c r="D48" s="21" t="s">
        <v>42</v>
      </c>
      <c r="E48" s="21" t="s">
        <v>169</v>
      </c>
      <c r="F48" s="21" t="s">
        <v>170</v>
      </c>
      <c r="G48" s="22">
        <v>147.0</v>
      </c>
      <c r="H48" s="22" t="s">
        <v>81</v>
      </c>
      <c r="I48" s="23">
        <v>3.72</v>
      </c>
      <c r="J48" s="23">
        <v>21873.6</v>
      </c>
      <c r="K48" s="21" t="s">
        <v>104</v>
      </c>
    </row>
    <row r="49" ht="21.75" customHeight="1">
      <c r="A49" s="20">
        <v>45257.0</v>
      </c>
      <c r="B49" s="21" t="s">
        <v>238</v>
      </c>
      <c r="C49" s="21" t="s">
        <v>78</v>
      </c>
      <c r="D49" s="21" t="s">
        <v>42</v>
      </c>
      <c r="E49" s="21" t="s">
        <v>171</v>
      </c>
      <c r="F49" s="21" t="s">
        <v>172</v>
      </c>
      <c r="G49" s="22">
        <v>50.0</v>
      </c>
      <c r="H49" s="22" t="s">
        <v>81</v>
      </c>
      <c r="I49" s="23">
        <v>1.11</v>
      </c>
      <c r="J49" s="23">
        <v>1110.0</v>
      </c>
      <c r="K49" s="21" t="s">
        <v>104</v>
      </c>
    </row>
    <row r="50" ht="21.75" customHeight="1">
      <c r="A50" s="20">
        <v>45261.0</v>
      </c>
      <c r="B50" s="21" t="s">
        <v>253</v>
      </c>
      <c r="C50" s="21" t="s">
        <v>78</v>
      </c>
      <c r="D50" s="21" t="s">
        <v>42</v>
      </c>
      <c r="E50" s="21" t="s">
        <v>255</v>
      </c>
      <c r="F50" s="21" t="s">
        <v>257</v>
      </c>
      <c r="G50" s="22">
        <v>30.0</v>
      </c>
      <c r="H50" s="22" t="s">
        <v>81</v>
      </c>
      <c r="I50" s="23">
        <v>4.33</v>
      </c>
      <c r="J50" s="23">
        <v>2598.0</v>
      </c>
      <c r="K50" s="21" t="s">
        <v>104</v>
      </c>
    </row>
    <row r="51" ht="21.75" customHeight="1">
      <c r="A51" s="20">
        <v>45261.0</v>
      </c>
      <c r="B51" s="21" t="s">
        <v>253</v>
      </c>
      <c r="C51" s="21" t="s">
        <v>78</v>
      </c>
      <c r="D51" s="21" t="s">
        <v>42</v>
      </c>
      <c r="E51" s="21" t="s">
        <v>263</v>
      </c>
      <c r="F51" s="21" t="s">
        <v>264</v>
      </c>
      <c r="G51" s="22">
        <v>30.0</v>
      </c>
      <c r="H51" s="22" t="s">
        <v>81</v>
      </c>
      <c r="I51" s="23">
        <v>3.4</v>
      </c>
      <c r="J51" s="23">
        <v>2040.0</v>
      </c>
      <c r="K51" s="21" t="s">
        <v>104</v>
      </c>
    </row>
    <row r="52" ht="21.75" customHeight="1">
      <c r="A52" s="20">
        <v>45261.0</v>
      </c>
      <c r="B52" s="21" t="s">
        <v>253</v>
      </c>
      <c r="C52" s="21" t="s">
        <v>78</v>
      </c>
      <c r="D52" s="21" t="s">
        <v>42</v>
      </c>
      <c r="E52" s="21" t="s">
        <v>82</v>
      </c>
      <c r="F52" s="21" t="s">
        <v>83</v>
      </c>
      <c r="G52" s="22">
        <v>1.0</v>
      </c>
      <c r="H52" s="22" t="s">
        <v>81</v>
      </c>
      <c r="I52" s="23">
        <v>10.0</v>
      </c>
      <c r="J52" s="23">
        <v>10.0</v>
      </c>
      <c r="K52" s="21" t="s">
        <v>104</v>
      </c>
    </row>
    <row r="53" ht="21.75" customHeight="1">
      <c r="A53" s="20">
        <v>45264.0</v>
      </c>
      <c r="B53" s="21" t="s">
        <v>273</v>
      </c>
      <c r="C53" s="21" t="s">
        <v>78</v>
      </c>
      <c r="D53" s="21" t="s">
        <v>42</v>
      </c>
      <c r="E53" s="21" t="s">
        <v>276</v>
      </c>
      <c r="F53" s="21" t="s">
        <v>278</v>
      </c>
      <c r="G53" s="22">
        <v>48.0</v>
      </c>
      <c r="H53" s="22" t="s">
        <v>81</v>
      </c>
      <c r="I53" s="23">
        <v>2.76</v>
      </c>
      <c r="J53" s="23">
        <v>2649.6</v>
      </c>
      <c r="K53" s="21" t="s">
        <v>104</v>
      </c>
    </row>
    <row r="54" ht="21.75" customHeight="1">
      <c r="A54" s="20">
        <v>45264.0</v>
      </c>
      <c r="B54" s="21" t="s">
        <v>273</v>
      </c>
      <c r="C54" s="21" t="s">
        <v>78</v>
      </c>
      <c r="D54" s="21" t="s">
        <v>42</v>
      </c>
      <c r="E54" s="21" t="s">
        <v>283</v>
      </c>
      <c r="F54" s="21" t="s">
        <v>284</v>
      </c>
      <c r="G54" s="22">
        <v>25.0</v>
      </c>
      <c r="H54" s="22" t="s">
        <v>81</v>
      </c>
      <c r="I54" s="23">
        <v>3.3</v>
      </c>
      <c r="J54" s="23">
        <v>1650.0</v>
      </c>
      <c r="K54" s="21" t="s">
        <v>104</v>
      </c>
    </row>
    <row r="55" ht="21.75" customHeight="1">
      <c r="A55" s="20">
        <v>45264.0</v>
      </c>
      <c r="B55" s="21" t="s">
        <v>273</v>
      </c>
      <c r="C55" s="21" t="s">
        <v>78</v>
      </c>
      <c r="D55" s="21" t="s">
        <v>42</v>
      </c>
      <c r="E55" s="21" t="s">
        <v>128</v>
      </c>
      <c r="F55" s="21" t="s">
        <v>129</v>
      </c>
      <c r="G55" s="22">
        <v>70.0</v>
      </c>
      <c r="H55" s="22" t="s">
        <v>81</v>
      </c>
      <c r="I55" s="23">
        <v>1.21</v>
      </c>
      <c r="J55" s="23">
        <v>1694.0</v>
      </c>
      <c r="K55" s="21" t="s">
        <v>104</v>
      </c>
    </row>
    <row r="56" ht="21.75" customHeight="1">
      <c r="A56" s="20">
        <v>45266.0</v>
      </c>
      <c r="B56" s="21" t="s">
        <v>292</v>
      </c>
      <c r="C56" s="21" t="s">
        <v>78</v>
      </c>
      <c r="D56" s="21" t="s">
        <v>42</v>
      </c>
      <c r="E56" s="21" t="s">
        <v>293</v>
      </c>
      <c r="F56" s="21" t="s">
        <v>294</v>
      </c>
      <c r="G56" s="22">
        <v>3.0</v>
      </c>
      <c r="H56" s="22" t="s">
        <v>81</v>
      </c>
      <c r="I56" s="23">
        <v>4.5</v>
      </c>
      <c r="J56" s="23">
        <v>270.0</v>
      </c>
      <c r="K56" s="21" t="s">
        <v>104</v>
      </c>
    </row>
    <row r="57" ht="21.75" customHeight="1">
      <c r="A57" s="20">
        <v>45266.0</v>
      </c>
      <c r="B57" s="21" t="s">
        <v>292</v>
      </c>
      <c r="C57" s="21" t="s">
        <v>78</v>
      </c>
      <c r="D57" s="21" t="s">
        <v>42</v>
      </c>
      <c r="E57" s="21" t="s">
        <v>147</v>
      </c>
      <c r="F57" s="21" t="s">
        <v>149</v>
      </c>
      <c r="G57" s="22">
        <v>5.0</v>
      </c>
      <c r="H57" s="22" t="s">
        <v>81</v>
      </c>
      <c r="I57" s="23">
        <v>2.72</v>
      </c>
      <c r="J57" s="23">
        <v>272.0</v>
      </c>
      <c r="K57" s="21" t="s">
        <v>104</v>
      </c>
    </row>
    <row r="58" ht="21.75" customHeight="1">
      <c r="A58" s="20">
        <v>45266.0</v>
      </c>
      <c r="B58" s="21" t="s">
        <v>292</v>
      </c>
      <c r="C58" s="21" t="s">
        <v>78</v>
      </c>
      <c r="D58" s="21" t="s">
        <v>42</v>
      </c>
      <c r="E58" s="21" t="s">
        <v>217</v>
      </c>
      <c r="F58" s="21" t="s">
        <v>219</v>
      </c>
      <c r="G58" s="22">
        <v>5.0</v>
      </c>
      <c r="H58" s="22" t="s">
        <v>81</v>
      </c>
      <c r="I58" s="23">
        <v>0.92</v>
      </c>
      <c r="J58" s="23">
        <v>92.0</v>
      </c>
      <c r="K58" s="21" t="s">
        <v>104</v>
      </c>
    </row>
    <row r="59" ht="21.75" customHeight="1">
      <c r="A59" s="20">
        <v>45266.0</v>
      </c>
      <c r="B59" s="21" t="s">
        <v>292</v>
      </c>
      <c r="C59" s="21" t="s">
        <v>78</v>
      </c>
      <c r="D59" s="21" t="s">
        <v>42</v>
      </c>
      <c r="E59" s="21" t="s">
        <v>303</v>
      </c>
      <c r="F59" s="21" t="s">
        <v>305</v>
      </c>
      <c r="G59" s="22">
        <v>10.0</v>
      </c>
      <c r="H59" s="22" t="s">
        <v>81</v>
      </c>
      <c r="I59" s="23">
        <v>0.88</v>
      </c>
      <c r="J59" s="23">
        <v>176.0</v>
      </c>
      <c r="K59" s="21" t="s">
        <v>104</v>
      </c>
    </row>
    <row r="60" ht="21.75" customHeight="1">
      <c r="A60" s="20">
        <v>45266.0</v>
      </c>
      <c r="B60" s="21" t="s">
        <v>292</v>
      </c>
      <c r="C60" s="21" t="s">
        <v>78</v>
      </c>
      <c r="D60" s="21" t="s">
        <v>42</v>
      </c>
      <c r="E60" s="21" t="s">
        <v>82</v>
      </c>
      <c r="F60" s="21" t="s">
        <v>83</v>
      </c>
      <c r="G60" s="22">
        <v>1.0</v>
      </c>
      <c r="H60" s="22" t="s">
        <v>81</v>
      </c>
      <c r="I60" s="23">
        <v>10.0</v>
      </c>
      <c r="J60" s="23">
        <v>10.0</v>
      </c>
      <c r="K60" s="21" t="s">
        <v>104</v>
      </c>
    </row>
    <row r="61" ht="21.75" customHeight="1">
      <c r="A61" s="20">
        <v>45267.0</v>
      </c>
      <c r="B61" s="21" t="s">
        <v>315</v>
      </c>
      <c r="C61" s="21" t="s">
        <v>78</v>
      </c>
      <c r="D61" s="21" t="s">
        <v>42</v>
      </c>
      <c r="E61" s="21" t="s">
        <v>122</v>
      </c>
      <c r="F61" s="21" t="s">
        <v>123</v>
      </c>
      <c r="G61" s="22">
        <v>10.0</v>
      </c>
      <c r="H61" s="22" t="s">
        <v>81</v>
      </c>
      <c r="I61" s="23">
        <v>4.24</v>
      </c>
      <c r="J61" s="23">
        <v>848.0</v>
      </c>
      <c r="K61" s="21" t="s">
        <v>104</v>
      </c>
    </row>
    <row r="62" ht="21.75" customHeight="1">
      <c r="A62" s="20">
        <v>45267.0</v>
      </c>
      <c r="B62" s="21" t="s">
        <v>315</v>
      </c>
      <c r="C62" s="21" t="s">
        <v>78</v>
      </c>
      <c r="D62" s="21" t="s">
        <v>42</v>
      </c>
      <c r="E62" s="21" t="s">
        <v>82</v>
      </c>
      <c r="F62" s="21" t="s">
        <v>83</v>
      </c>
      <c r="G62" s="22">
        <v>1.0</v>
      </c>
      <c r="H62" s="22" t="s">
        <v>81</v>
      </c>
      <c r="I62" s="23">
        <v>10.0</v>
      </c>
      <c r="J62" s="23">
        <v>10.0</v>
      </c>
      <c r="K62" s="21" t="s">
        <v>104</v>
      </c>
    </row>
    <row r="63" ht="21.75" customHeight="1">
      <c r="A63" s="20">
        <v>45267.0</v>
      </c>
      <c r="B63" s="21" t="s">
        <v>323</v>
      </c>
      <c r="C63" s="21" t="s">
        <v>78</v>
      </c>
      <c r="D63" s="21" t="s">
        <v>42</v>
      </c>
      <c r="E63" s="21" t="s">
        <v>137</v>
      </c>
      <c r="F63" s="21" t="s">
        <v>138</v>
      </c>
      <c r="G63" s="22">
        <v>1.0</v>
      </c>
      <c r="H63" s="22" t="s">
        <v>81</v>
      </c>
      <c r="I63" s="23">
        <v>2.84</v>
      </c>
      <c r="J63" s="23">
        <v>56.8</v>
      </c>
      <c r="K63" s="21" t="s">
        <v>104</v>
      </c>
    </row>
    <row r="64" ht="21.75" customHeight="1">
      <c r="A64" s="20">
        <v>45268.0</v>
      </c>
      <c r="B64" s="21" t="s">
        <v>329</v>
      </c>
      <c r="C64" s="21" t="s">
        <v>71</v>
      </c>
      <c r="D64" s="21" t="s">
        <v>42</v>
      </c>
      <c r="E64" s="21" t="s">
        <v>331</v>
      </c>
      <c r="F64" s="21" t="s">
        <v>332</v>
      </c>
      <c r="G64" s="22">
        <v>1.0</v>
      </c>
      <c r="H64" s="22" t="s">
        <v>66</v>
      </c>
      <c r="I64" s="23">
        <v>9.37</v>
      </c>
      <c r="J64" s="23">
        <v>468.5</v>
      </c>
      <c r="K64" s="21" t="s">
        <v>104</v>
      </c>
    </row>
    <row r="65" ht="21.75" customHeight="1">
      <c r="A65" s="20">
        <v>45268.0</v>
      </c>
      <c r="B65" s="21" t="s">
        <v>329</v>
      </c>
      <c r="C65" s="21" t="s">
        <v>71</v>
      </c>
      <c r="D65" s="21" t="s">
        <v>42</v>
      </c>
      <c r="E65" s="21" t="s">
        <v>204</v>
      </c>
      <c r="F65" s="21" t="s">
        <v>337</v>
      </c>
      <c r="G65" s="22">
        <v>1.0</v>
      </c>
      <c r="H65" s="22" t="s">
        <v>66</v>
      </c>
      <c r="I65" s="23">
        <v>8.57</v>
      </c>
      <c r="J65" s="23">
        <v>428.5</v>
      </c>
      <c r="K65" s="21" t="s">
        <v>104</v>
      </c>
    </row>
    <row r="66" ht="21.75" customHeight="1">
      <c r="A66" s="20">
        <v>45274.0</v>
      </c>
      <c r="B66" s="21" t="s">
        <v>342</v>
      </c>
      <c r="C66" s="21" t="s">
        <v>78</v>
      </c>
      <c r="D66" s="21" t="s">
        <v>42</v>
      </c>
      <c r="E66" s="21" t="s">
        <v>344</v>
      </c>
      <c r="F66" s="21" t="s">
        <v>345</v>
      </c>
      <c r="G66" s="22">
        <v>2.0</v>
      </c>
      <c r="H66" s="22" t="s">
        <v>81</v>
      </c>
      <c r="I66" s="23">
        <v>50.0</v>
      </c>
      <c r="J66" s="23">
        <v>100.0</v>
      </c>
      <c r="K66" s="21" t="s">
        <v>104</v>
      </c>
    </row>
    <row r="67" ht="21.75" customHeight="1">
      <c r="A67" s="20">
        <v>45274.0</v>
      </c>
      <c r="B67" s="21" t="s">
        <v>342</v>
      </c>
      <c r="C67" s="21" t="s">
        <v>78</v>
      </c>
      <c r="D67" s="21" t="s">
        <v>42</v>
      </c>
      <c r="E67" s="21" t="s">
        <v>189</v>
      </c>
      <c r="F67" s="21" t="s">
        <v>190</v>
      </c>
      <c r="G67" s="22">
        <v>64.0</v>
      </c>
      <c r="H67" s="22" t="s">
        <v>81</v>
      </c>
      <c r="I67" s="23">
        <v>1.6</v>
      </c>
      <c r="J67" s="23">
        <v>2048.0</v>
      </c>
      <c r="K67" s="21" t="s">
        <v>104</v>
      </c>
    </row>
    <row r="68" ht="21.75" customHeight="1">
      <c r="A68" s="20">
        <v>45274.0</v>
      </c>
      <c r="B68" s="21" t="s">
        <v>342</v>
      </c>
      <c r="C68" s="21" t="s">
        <v>78</v>
      </c>
      <c r="D68" s="21" t="s">
        <v>42</v>
      </c>
      <c r="E68" s="21" t="s">
        <v>79</v>
      </c>
      <c r="F68" s="21" t="s">
        <v>80</v>
      </c>
      <c r="G68" s="22">
        <v>64.0</v>
      </c>
      <c r="H68" s="22" t="s">
        <v>81</v>
      </c>
      <c r="I68" s="23">
        <v>2.2</v>
      </c>
      <c r="J68" s="23">
        <v>2816.0</v>
      </c>
      <c r="K68" s="21" t="s">
        <v>104</v>
      </c>
    </row>
    <row r="69" ht="21.75" customHeight="1">
      <c r="A69" s="20">
        <v>45274.0</v>
      </c>
      <c r="B69" s="21" t="s">
        <v>342</v>
      </c>
      <c r="C69" s="21" t="s">
        <v>78</v>
      </c>
      <c r="D69" s="21" t="s">
        <v>42</v>
      </c>
      <c r="E69" s="21" t="s">
        <v>82</v>
      </c>
      <c r="F69" s="21" t="s">
        <v>83</v>
      </c>
      <c r="G69" s="22">
        <v>1.0</v>
      </c>
      <c r="H69" s="22" t="s">
        <v>81</v>
      </c>
      <c r="I69" s="23">
        <v>10.0</v>
      </c>
      <c r="J69" s="23">
        <v>10.0</v>
      </c>
      <c r="K69" s="21" t="s">
        <v>104</v>
      </c>
    </row>
    <row r="70" ht="21.75" customHeight="1">
      <c r="A70" s="20">
        <v>45274.0</v>
      </c>
      <c r="B70" s="21" t="s">
        <v>342</v>
      </c>
      <c r="C70" s="21" t="s">
        <v>78</v>
      </c>
      <c r="D70" s="21" t="s">
        <v>42</v>
      </c>
      <c r="E70" s="21" t="s">
        <v>119</v>
      </c>
      <c r="F70" s="21" t="s">
        <v>120</v>
      </c>
      <c r="G70" s="22">
        <v>10.0</v>
      </c>
      <c r="H70" s="22" t="s">
        <v>81</v>
      </c>
      <c r="I70" s="23">
        <v>3.32</v>
      </c>
      <c r="J70" s="23">
        <v>664.0</v>
      </c>
      <c r="K70" s="21" t="s">
        <v>104</v>
      </c>
    </row>
    <row r="71" ht="21.75" customHeight="1">
      <c r="A71" s="20">
        <v>45302.0</v>
      </c>
      <c r="B71" s="21" t="s">
        <v>370</v>
      </c>
      <c r="C71" s="21" t="s">
        <v>71</v>
      </c>
      <c r="D71" s="21" t="s">
        <v>42</v>
      </c>
      <c r="E71" s="21" t="s">
        <v>279</v>
      </c>
      <c r="F71" s="21" t="s">
        <v>375</v>
      </c>
      <c r="G71" s="22">
        <v>2.0</v>
      </c>
      <c r="H71" s="22" t="s">
        <v>66</v>
      </c>
      <c r="I71" s="23">
        <v>8.27</v>
      </c>
      <c r="J71" s="23">
        <v>827.0</v>
      </c>
      <c r="K71" s="21" t="s">
        <v>104</v>
      </c>
    </row>
    <row r="72" ht="21.75" customHeight="1">
      <c r="A72" s="20">
        <v>45302.0</v>
      </c>
      <c r="B72" s="21" t="s">
        <v>370</v>
      </c>
      <c r="C72" s="21" t="s">
        <v>71</v>
      </c>
      <c r="D72" s="21" t="s">
        <v>42</v>
      </c>
      <c r="E72" s="21" t="s">
        <v>258</v>
      </c>
      <c r="F72" s="21" t="s">
        <v>380</v>
      </c>
      <c r="G72" s="22">
        <v>3.0</v>
      </c>
      <c r="H72" s="22" t="s">
        <v>66</v>
      </c>
      <c r="I72" s="23">
        <v>6.09</v>
      </c>
      <c r="J72" s="23">
        <v>913.5</v>
      </c>
      <c r="K72" s="21" t="s">
        <v>104</v>
      </c>
    </row>
    <row r="73" ht="21.75" customHeight="1">
      <c r="A73" s="20">
        <v>45302.0</v>
      </c>
      <c r="B73" s="21" t="s">
        <v>370</v>
      </c>
      <c r="C73" s="21" t="s">
        <v>71</v>
      </c>
      <c r="D73" s="21" t="s">
        <v>42</v>
      </c>
      <c r="E73" s="21" t="s">
        <v>204</v>
      </c>
      <c r="F73" s="21" t="s">
        <v>337</v>
      </c>
      <c r="G73" s="22">
        <v>5.0</v>
      </c>
      <c r="H73" s="22" t="s">
        <v>66</v>
      </c>
      <c r="I73" s="23">
        <v>8.57</v>
      </c>
      <c r="J73" s="23">
        <v>2142.5</v>
      </c>
      <c r="K73" s="21" t="s">
        <v>104</v>
      </c>
    </row>
    <row r="74" ht="21.75" customHeight="1">
      <c r="A74" s="20">
        <v>45302.0</v>
      </c>
      <c r="B74" s="21" t="s">
        <v>370</v>
      </c>
      <c r="C74" s="21" t="s">
        <v>71</v>
      </c>
      <c r="D74" s="21" t="s">
        <v>42</v>
      </c>
      <c r="E74" s="21" t="s">
        <v>75</v>
      </c>
      <c r="F74" s="21" t="s">
        <v>76</v>
      </c>
      <c r="G74" s="22">
        <v>2.0</v>
      </c>
      <c r="H74" s="22" t="s">
        <v>66</v>
      </c>
      <c r="I74" s="23">
        <v>6.59</v>
      </c>
      <c r="J74" s="23">
        <v>659.0</v>
      </c>
      <c r="K74" s="21" t="s">
        <v>104</v>
      </c>
    </row>
    <row r="75" ht="21.75" customHeight="1">
      <c r="A75" s="20">
        <v>45302.0</v>
      </c>
      <c r="B75" s="21" t="s">
        <v>370</v>
      </c>
      <c r="C75" s="21" t="s">
        <v>71</v>
      </c>
      <c r="D75" s="21" t="s">
        <v>42</v>
      </c>
      <c r="E75" s="21" t="s">
        <v>343</v>
      </c>
      <c r="F75" s="21" t="s">
        <v>395</v>
      </c>
      <c r="G75" s="22">
        <v>1.0</v>
      </c>
      <c r="H75" s="22" t="s">
        <v>66</v>
      </c>
      <c r="I75" s="23">
        <v>7.84</v>
      </c>
      <c r="J75" s="23">
        <v>392.0</v>
      </c>
      <c r="K75" s="21" t="s">
        <v>104</v>
      </c>
    </row>
    <row r="76" ht="21.75" customHeight="1">
      <c r="A76" s="20">
        <v>45321.0</v>
      </c>
      <c r="B76" s="21" t="s">
        <v>398</v>
      </c>
      <c r="C76" s="21" t="s">
        <v>71</v>
      </c>
      <c r="D76" s="21" t="s">
        <v>42</v>
      </c>
      <c r="E76" s="21" t="s">
        <v>399</v>
      </c>
      <c r="F76" s="21" t="s">
        <v>400</v>
      </c>
      <c r="G76" s="22">
        <v>24.0</v>
      </c>
      <c r="H76" s="22" t="s">
        <v>73</v>
      </c>
      <c r="I76" s="23">
        <v>13.04</v>
      </c>
      <c r="J76" s="23">
        <v>312.96</v>
      </c>
      <c r="K76" s="21" t="s">
        <v>104</v>
      </c>
    </row>
    <row r="77" ht="21.75" customHeight="1">
      <c r="A77" s="20">
        <v>45321.0</v>
      </c>
      <c r="B77" s="21" t="s">
        <v>398</v>
      </c>
      <c r="C77" s="21" t="s">
        <v>71</v>
      </c>
      <c r="D77" s="21" t="s">
        <v>42</v>
      </c>
      <c r="E77" s="21" t="s">
        <v>406</v>
      </c>
      <c r="F77" s="21" t="s">
        <v>407</v>
      </c>
      <c r="G77" s="22">
        <v>24.0</v>
      </c>
      <c r="H77" s="22" t="s">
        <v>73</v>
      </c>
      <c r="I77" s="23">
        <v>13.04</v>
      </c>
      <c r="J77" s="23">
        <v>312.96</v>
      </c>
      <c r="K77" s="21" t="s">
        <v>104</v>
      </c>
    </row>
    <row r="78" ht="21.75" customHeight="1">
      <c r="A78" s="20">
        <v>45321.0</v>
      </c>
      <c r="B78" s="21" t="s">
        <v>398</v>
      </c>
      <c r="C78" s="21" t="s">
        <v>71</v>
      </c>
      <c r="D78" s="21" t="s">
        <v>42</v>
      </c>
      <c r="E78" s="21" t="s">
        <v>409</v>
      </c>
      <c r="F78" s="21" t="s">
        <v>411</v>
      </c>
      <c r="G78" s="22">
        <v>24.0</v>
      </c>
      <c r="H78" s="22" t="s">
        <v>73</v>
      </c>
      <c r="I78" s="23">
        <v>13.04</v>
      </c>
      <c r="J78" s="23">
        <v>312.96</v>
      </c>
      <c r="K78" s="21" t="s">
        <v>104</v>
      </c>
    </row>
    <row r="79" ht="21.75" customHeight="1">
      <c r="A79" s="20">
        <v>45338.0</v>
      </c>
      <c r="B79" s="21" t="s">
        <v>413</v>
      </c>
      <c r="C79" s="21" t="s">
        <v>71</v>
      </c>
      <c r="D79" s="21" t="s">
        <v>42</v>
      </c>
      <c r="E79" s="21" t="s">
        <v>331</v>
      </c>
      <c r="F79" s="21" t="s">
        <v>332</v>
      </c>
      <c r="G79" s="22">
        <v>1.0</v>
      </c>
      <c r="H79" s="22" t="s">
        <v>66</v>
      </c>
      <c r="I79" s="23">
        <v>9.37</v>
      </c>
      <c r="J79" s="23">
        <v>468.5</v>
      </c>
      <c r="K79" s="21" t="s">
        <v>104</v>
      </c>
    </row>
    <row r="80" ht="21.75" customHeight="1">
      <c r="A80" s="20">
        <v>45338.0</v>
      </c>
      <c r="B80" s="21" t="s">
        <v>413</v>
      </c>
      <c r="C80" s="21" t="s">
        <v>71</v>
      </c>
      <c r="D80" s="21" t="s">
        <v>42</v>
      </c>
      <c r="E80" s="21" t="s">
        <v>204</v>
      </c>
      <c r="F80" s="21" t="s">
        <v>337</v>
      </c>
      <c r="G80" s="22">
        <v>1.0</v>
      </c>
      <c r="H80" s="22" t="s">
        <v>66</v>
      </c>
      <c r="I80" s="23">
        <v>8.57</v>
      </c>
      <c r="J80" s="23">
        <v>428.5</v>
      </c>
      <c r="K80" s="21" t="s">
        <v>104</v>
      </c>
    </row>
    <row r="81" ht="21.75" customHeight="1">
      <c r="A81" s="20">
        <v>45355.0</v>
      </c>
      <c r="B81" s="21" t="s">
        <v>416</v>
      </c>
      <c r="C81" s="21" t="s">
        <v>71</v>
      </c>
      <c r="D81" s="21" t="s">
        <v>42</v>
      </c>
      <c r="E81" s="21" t="s">
        <v>75</v>
      </c>
      <c r="F81" s="21" t="s">
        <v>76</v>
      </c>
      <c r="G81" s="22">
        <v>2.0</v>
      </c>
      <c r="H81" s="22" t="s">
        <v>66</v>
      </c>
      <c r="I81" s="23">
        <v>6.59</v>
      </c>
      <c r="J81" s="23">
        <v>659.0</v>
      </c>
      <c r="K81" s="21" t="s">
        <v>104</v>
      </c>
    </row>
    <row r="82" ht="21.75" customHeight="1">
      <c r="A82" s="20">
        <v>45355.0</v>
      </c>
      <c r="B82" s="21" t="s">
        <v>418</v>
      </c>
      <c r="C82" s="21" t="s">
        <v>71</v>
      </c>
      <c r="D82" s="21" t="s">
        <v>42</v>
      </c>
      <c r="E82" s="21" t="s">
        <v>258</v>
      </c>
      <c r="F82" s="21" t="s">
        <v>380</v>
      </c>
      <c r="G82" s="22">
        <v>2.0</v>
      </c>
      <c r="H82" s="22" t="s">
        <v>66</v>
      </c>
      <c r="I82" s="23">
        <v>6.09</v>
      </c>
      <c r="J82" s="23">
        <v>609.0</v>
      </c>
      <c r="K82" s="21" t="s">
        <v>104</v>
      </c>
    </row>
    <row r="83" ht="21.75" customHeight="1">
      <c r="A83" s="20">
        <v>45355.0</v>
      </c>
      <c r="B83" s="21" t="s">
        <v>418</v>
      </c>
      <c r="C83" s="21" t="s">
        <v>71</v>
      </c>
      <c r="D83" s="21" t="s">
        <v>42</v>
      </c>
      <c r="E83" s="21" t="s">
        <v>279</v>
      </c>
      <c r="F83" s="21" t="s">
        <v>375</v>
      </c>
      <c r="G83" s="22">
        <v>2.0</v>
      </c>
      <c r="H83" s="22" t="s">
        <v>66</v>
      </c>
      <c r="I83" s="23">
        <v>8.27</v>
      </c>
      <c r="J83" s="23">
        <v>827.0</v>
      </c>
      <c r="K83" s="21" t="s">
        <v>104</v>
      </c>
    </row>
    <row r="84" ht="21.75" customHeight="1">
      <c r="A84" s="20">
        <v>45355.0</v>
      </c>
      <c r="B84" s="21" t="s">
        <v>418</v>
      </c>
      <c r="C84" s="21" t="s">
        <v>71</v>
      </c>
      <c r="D84" s="21" t="s">
        <v>42</v>
      </c>
      <c r="E84" s="21" t="s">
        <v>204</v>
      </c>
      <c r="F84" s="21" t="s">
        <v>337</v>
      </c>
      <c r="G84" s="22">
        <v>4.0</v>
      </c>
      <c r="H84" s="22" t="s">
        <v>66</v>
      </c>
      <c r="I84" s="23">
        <v>8.57</v>
      </c>
      <c r="J84" s="23">
        <v>1714.0</v>
      </c>
      <c r="K84" s="21" t="s">
        <v>104</v>
      </c>
    </row>
    <row r="85" ht="21.75" customHeight="1">
      <c r="A85" s="20">
        <v>45380.0</v>
      </c>
      <c r="B85" s="21" t="s">
        <v>423</v>
      </c>
      <c r="C85" s="21" t="s">
        <v>71</v>
      </c>
      <c r="D85" s="21" t="s">
        <v>42</v>
      </c>
      <c r="E85" s="21" t="s">
        <v>279</v>
      </c>
      <c r="F85" s="21" t="s">
        <v>375</v>
      </c>
      <c r="G85" s="22">
        <v>2.0</v>
      </c>
      <c r="H85" s="22" t="s">
        <v>66</v>
      </c>
      <c r="I85" s="23">
        <v>8.27</v>
      </c>
      <c r="J85" s="23">
        <v>827.0</v>
      </c>
      <c r="K85" s="21" t="s">
        <v>104</v>
      </c>
    </row>
    <row r="86" ht="21.75" customHeight="1">
      <c r="A86" s="20">
        <v>45380.0</v>
      </c>
      <c r="B86" s="21" t="s">
        <v>423</v>
      </c>
      <c r="C86" s="21" t="s">
        <v>71</v>
      </c>
      <c r="D86" s="21" t="s">
        <v>42</v>
      </c>
      <c r="E86" s="21" t="s">
        <v>258</v>
      </c>
      <c r="F86" s="21" t="s">
        <v>380</v>
      </c>
      <c r="G86" s="22">
        <v>2.0</v>
      </c>
      <c r="H86" s="22" t="s">
        <v>66</v>
      </c>
      <c r="I86" s="23">
        <v>6.09</v>
      </c>
      <c r="J86" s="23">
        <v>609.0</v>
      </c>
      <c r="K86" s="21" t="s">
        <v>104</v>
      </c>
    </row>
    <row r="87" ht="21.75" customHeight="1">
      <c r="A87" s="20">
        <v>45380.0</v>
      </c>
      <c r="B87" s="21" t="s">
        <v>423</v>
      </c>
      <c r="C87" s="21" t="s">
        <v>71</v>
      </c>
      <c r="D87" s="21" t="s">
        <v>42</v>
      </c>
      <c r="E87" s="21" t="s">
        <v>204</v>
      </c>
      <c r="F87" s="21" t="s">
        <v>337</v>
      </c>
      <c r="G87" s="22">
        <v>6.0</v>
      </c>
      <c r="H87" s="22" t="s">
        <v>66</v>
      </c>
      <c r="I87" s="23">
        <v>8.57</v>
      </c>
      <c r="J87" s="23">
        <v>2571.0</v>
      </c>
      <c r="K87" s="21" t="s">
        <v>104</v>
      </c>
    </row>
    <row r="88" ht="21.75" customHeight="1">
      <c r="A88" s="20">
        <v>45401.0</v>
      </c>
      <c r="B88" s="21" t="s">
        <v>433</v>
      </c>
      <c r="C88" s="21" t="s">
        <v>71</v>
      </c>
      <c r="D88" s="21" t="s">
        <v>42</v>
      </c>
      <c r="E88" s="21" t="s">
        <v>258</v>
      </c>
      <c r="F88" s="21" t="s">
        <v>380</v>
      </c>
      <c r="G88" s="22">
        <v>2.0</v>
      </c>
      <c r="H88" s="22" t="s">
        <v>66</v>
      </c>
      <c r="I88" s="23">
        <v>6.09</v>
      </c>
      <c r="J88" s="23">
        <v>609.0</v>
      </c>
      <c r="K88" s="21" t="s">
        <v>104</v>
      </c>
    </row>
    <row r="89" ht="21.75" customHeight="1">
      <c r="A89" s="20">
        <v>45412.0</v>
      </c>
      <c r="B89" s="21" t="s">
        <v>435</v>
      </c>
      <c r="C89" s="21" t="s">
        <v>41</v>
      </c>
      <c r="D89" s="21" t="s">
        <v>42</v>
      </c>
      <c r="E89" s="21" t="s">
        <v>437</v>
      </c>
      <c r="F89" s="21" t="s">
        <v>438</v>
      </c>
      <c r="G89" s="22">
        <v>20.0</v>
      </c>
      <c r="H89" s="22" t="s">
        <v>49</v>
      </c>
      <c r="I89" s="23">
        <v>10.44</v>
      </c>
      <c r="J89" s="23">
        <v>208.8</v>
      </c>
      <c r="K89" s="21" t="s">
        <v>104</v>
      </c>
    </row>
    <row r="90" ht="21.75" customHeight="1">
      <c r="A90" s="20">
        <v>45412.0</v>
      </c>
      <c r="B90" s="21" t="s">
        <v>435</v>
      </c>
      <c r="C90" s="21" t="s">
        <v>41</v>
      </c>
      <c r="D90" s="21" t="s">
        <v>42</v>
      </c>
      <c r="E90" s="21" t="s">
        <v>441</v>
      </c>
      <c r="F90" s="21" t="s">
        <v>442</v>
      </c>
      <c r="G90" s="22">
        <v>128.0</v>
      </c>
      <c r="H90" s="22" t="s">
        <v>49</v>
      </c>
      <c r="I90" s="23">
        <v>2.43</v>
      </c>
      <c r="J90" s="23">
        <v>311.04</v>
      </c>
      <c r="K90" s="21" t="s">
        <v>104</v>
      </c>
    </row>
    <row r="91" ht="21.75" customHeight="1">
      <c r="A91" s="20">
        <v>45414.0</v>
      </c>
      <c r="B91" s="21" t="s">
        <v>445</v>
      </c>
      <c r="C91" s="21" t="s">
        <v>71</v>
      </c>
      <c r="D91" s="21" t="s">
        <v>42</v>
      </c>
      <c r="E91" s="21" t="s">
        <v>409</v>
      </c>
      <c r="F91" s="21" t="s">
        <v>411</v>
      </c>
      <c r="G91" s="22">
        <v>12.0</v>
      </c>
      <c r="H91" s="22" t="s">
        <v>73</v>
      </c>
      <c r="I91" s="23">
        <v>13.69</v>
      </c>
      <c r="J91" s="23">
        <v>164.28</v>
      </c>
      <c r="K91" s="21" t="s">
        <v>104</v>
      </c>
    </row>
    <row r="92" ht="21.75" customHeight="1">
      <c r="A92" s="20">
        <v>45419.0</v>
      </c>
      <c r="B92" s="21" t="s">
        <v>449</v>
      </c>
      <c r="C92" s="21" t="s">
        <v>41</v>
      </c>
      <c r="D92" s="21" t="s">
        <v>42</v>
      </c>
      <c r="E92" s="21" t="s">
        <v>44</v>
      </c>
      <c r="F92" s="21" t="s">
        <v>46</v>
      </c>
      <c r="G92" s="22">
        <v>400.0</v>
      </c>
      <c r="H92" s="22" t="s">
        <v>49</v>
      </c>
      <c r="I92" s="23">
        <v>3.17</v>
      </c>
      <c r="J92" s="23">
        <v>1268.0</v>
      </c>
      <c r="K92" s="21" t="s">
        <v>104</v>
      </c>
    </row>
    <row r="93" ht="21.75" customHeight="1">
      <c r="A93" s="20">
        <v>45419.0</v>
      </c>
      <c r="B93" s="21" t="s">
        <v>449</v>
      </c>
      <c r="C93" s="21" t="s">
        <v>41</v>
      </c>
      <c r="D93" s="21" t="s">
        <v>42</v>
      </c>
      <c r="E93" s="21" t="s">
        <v>60</v>
      </c>
      <c r="F93" s="21" t="s">
        <v>61</v>
      </c>
      <c r="G93" s="22">
        <v>500.0</v>
      </c>
      <c r="H93" s="22" t="s">
        <v>49</v>
      </c>
      <c r="I93" s="23">
        <v>2.33</v>
      </c>
      <c r="J93" s="23">
        <v>1165.0</v>
      </c>
      <c r="K93" s="21" t="s">
        <v>104</v>
      </c>
    </row>
    <row r="94" ht="21.75" customHeight="1">
      <c r="A94" s="20">
        <v>45419.0</v>
      </c>
      <c r="B94" s="21" t="s">
        <v>449</v>
      </c>
      <c r="C94" s="21" t="s">
        <v>41</v>
      </c>
      <c r="D94" s="21" t="s">
        <v>42</v>
      </c>
      <c r="E94" s="21" t="s">
        <v>441</v>
      </c>
      <c r="F94" s="21" t="s">
        <v>442</v>
      </c>
      <c r="G94" s="22">
        <v>320.0</v>
      </c>
      <c r="H94" s="22" t="s">
        <v>49</v>
      </c>
      <c r="I94" s="23">
        <v>2.17</v>
      </c>
      <c r="J94" s="23">
        <v>694.4</v>
      </c>
      <c r="K94" s="21" t="s">
        <v>104</v>
      </c>
    </row>
    <row r="95" ht="21.75" customHeight="1">
      <c r="A95" s="20">
        <v>45419.0</v>
      </c>
      <c r="B95" s="21" t="s">
        <v>449</v>
      </c>
      <c r="C95" s="21" t="s">
        <v>41</v>
      </c>
      <c r="D95" s="21" t="s">
        <v>42</v>
      </c>
      <c r="E95" s="21" t="s">
        <v>457</v>
      </c>
      <c r="F95" s="21" t="s">
        <v>458</v>
      </c>
      <c r="G95" s="22">
        <v>80.0</v>
      </c>
      <c r="H95" s="22" t="s">
        <v>49</v>
      </c>
      <c r="I95" s="23">
        <v>4.86</v>
      </c>
      <c r="J95" s="23">
        <v>388.8</v>
      </c>
      <c r="K95" s="21" t="s">
        <v>104</v>
      </c>
    </row>
    <row r="96" ht="21.75" customHeight="1">
      <c r="A96" s="20">
        <v>45419.0</v>
      </c>
      <c r="B96" s="21" t="s">
        <v>449</v>
      </c>
      <c r="C96" s="21" t="s">
        <v>41</v>
      </c>
      <c r="D96" s="21" t="s">
        <v>42</v>
      </c>
      <c r="E96" s="21" t="s">
        <v>461</v>
      </c>
      <c r="F96" s="21" t="s">
        <v>462</v>
      </c>
      <c r="G96" s="22">
        <v>120.0</v>
      </c>
      <c r="H96" s="22" t="s">
        <v>49</v>
      </c>
      <c r="I96" s="23">
        <v>4.02</v>
      </c>
      <c r="J96" s="23">
        <v>482.4</v>
      </c>
      <c r="K96" s="21" t="s">
        <v>104</v>
      </c>
    </row>
    <row r="97" ht="21.75" customHeight="1">
      <c r="A97" s="20">
        <v>45419.0</v>
      </c>
      <c r="B97" s="21" t="s">
        <v>449</v>
      </c>
      <c r="C97" s="21" t="s">
        <v>41</v>
      </c>
      <c r="D97" s="21" t="s">
        <v>42</v>
      </c>
      <c r="E97" s="21" t="s">
        <v>465</v>
      </c>
      <c r="F97" s="21" t="s">
        <v>467</v>
      </c>
      <c r="G97" s="22">
        <v>40.0</v>
      </c>
      <c r="H97" s="22" t="s">
        <v>49</v>
      </c>
      <c r="I97" s="23">
        <v>2.33</v>
      </c>
      <c r="J97" s="23">
        <v>93.2</v>
      </c>
      <c r="K97" s="21" t="s">
        <v>104</v>
      </c>
    </row>
    <row r="98" ht="21.75" customHeight="1">
      <c r="A98" s="20">
        <v>45419.0</v>
      </c>
      <c r="B98" s="21" t="s">
        <v>449</v>
      </c>
      <c r="C98" s="21" t="s">
        <v>41</v>
      </c>
      <c r="D98" s="21" t="s">
        <v>42</v>
      </c>
      <c r="E98" s="21" t="s">
        <v>64</v>
      </c>
      <c r="F98" s="21" t="s">
        <v>65</v>
      </c>
      <c r="G98" s="22">
        <v>2.772</v>
      </c>
      <c r="H98" s="22" t="s">
        <v>66</v>
      </c>
      <c r="I98" s="24">
        <v>5.4618</v>
      </c>
      <c r="J98" s="23">
        <v>15.14</v>
      </c>
      <c r="K98" s="21" t="s">
        <v>104</v>
      </c>
    </row>
    <row r="99" ht="21.75" customHeight="1">
      <c r="A99" s="20">
        <v>45419.0</v>
      </c>
      <c r="B99" s="21" t="s">
        <v>470</v>
      </c>
      <c r="C99" s="21" t="s">
        <v>41</v>
      </c>
      <c r="D99" s="21" t="s">
        <v>42</v>
      </c>
      <c r="E99" s="21" t="s">
        <v>471</v>
      </c>
      <c r="F99" s="21" t="s">
        <v>472</v>
      </c>
      <c r="G99" s="22">
        <v>14.16</v>
      </c>
      <c r="H99" s="22" t="s">
        <v>66</v>
      </c>
      <c r="I99" s="24">
        <v>5.4597</v>
      </c>
      <c r="J99" s="23">
        <v>77.31</v>
      </c>
      <c r="K99" s="21" t="s">
        <v>104</v>
      </c>
    </row>
    <row r="100" ht="21.75" customHeight="1">
      <c r="A100" s="20">
        <v>45419.0</v>
      </c>
      <c r="B100" s="21" t="s">
        <v>470</v>
      </c>
      <c r="C100" s="21" t="s">
        <v>41</v>
      </c>
      <c r="D100" s="21" t="s">
        <v>42</v>
      </c>
      <c r="E100" s="21" t="s">
        <v>476</v>
      </c>
      <c r="F100" s="21" t="s">
        <v>477</v>
      </c>
      <c r="G100" s="22">
        <v>111.68</v>
      </c>
      <c r="H100" s="22" t="s">
        <v>66</v>
      </c>
      <c r="I100" s="24">
        <v>4.1637</v>
      </c>
      <c r="J100" s="23">
        <v>465.0</v>
      </c>
      <c r="K100" s="21" t="s">
        <v>104</v>
      </c>
    </row>
    <row r="101" ht="21.75" customHeight="1">
      <c r="A101" s="20">
        <v>45420.0</v>
      </c>
      <c r="B101" s="21" t="s">
        <v>478</v>
      </c>
      <c r="C101" s="21" t="s">
        <v>71</v>
      </c>
      <c r="D101" s="21" t="s">
        <v>42</v>
      </c>
      <c r="E101" s="21" t="s">
        <v>331</v>
      </c>
      <c r="F101" s="21" t="s">
        <v>332</v>
      </c>
      <c r="G101" s="22">
        <v>1.0</v>
      </c>
      <c r="H101" s="22" t="s">
        <v>66</v>
      </c>
      <c r="I101" s="23">
        <v>9.37</v>
      </c>
      <c r="J101" s="23">
        <v>468.5</v>
      </c>
      <c r="K101" s="21" t="s">
        <v>104</v>
      </c>
    </row>
    <row r="102" ht="21.75" customHeight="1">
      <c r="A102" s="20">
        <v>45420.0</v>
      </c>
      <c r="B102" s="21" t="s">
        <v>478</v>
      </c>
      <c r="C102" s="21" t="s">
        <v>71</v>
      </c>
      <c r="D102" s="21" t="s">
        <v>42</v>
      </c>
      <c r="E102" s="21" t="s">
        <v>479</v>
      </c>
      <c r="F102" s="21"/>
      <c r="G102" s="22">
        <v>1.0</v>
      </c>
      <c r="H102" s="22" t="s">
        <v>73</v>
      </c>
      <c r="I102" s="23">
        <v>92.33</v>
      </c>
      <c r="J102" s="23">
        <v>92.33</v>
      </c>
      <c r="K102" s="21" t="s">
        <v>104</v>
      </c>
    </row>
    <row r="103" ht="21.75" customHeight="1">
      <c r="A103" s="20">
        <v>45421.0</v>
      </c>
      <c r="B103" s="21" t="s">
        <v>483</v>
      </c>
      <c r="C103" s="21" t="s">
        <v>71</v>
      </c>
      <c r="D103" s="21" t="s">
        <v>42</v>
      </c>
      <c r="E103" s="21" t="s">
        <v>279</v>
      </c>
      <c r="F103" s="21" t="s">
        <v>375</v>
      </c>
      <c r="G103" s="22">
        <v>2.0</v>
      </c>
      <c r="H103" s="22" t="s">
        <v>66</v>
      </c>
      <c r="I103" s="23">
        <v>8.27</v>
      </c>
      <c r="J103" s="23">
        <v>827.0</v>
      </c>
      <c r="K103" s="21" t="s">
        <v>104</v>
      </c>
    </row>
    <row r="104" ht="21.75" customHeight="1">
      <c r="A104" s="20">
        <v>45421.0</v>
      </c>
      <c r="B104" s="21" t="s">
        <v>483</v>
      </c>
      <c r="C104" s="21" t="s">
        <v>71</v>
      </c>
      <c r="D104" s="21" t="s">
        <v>42</v>
      </c>
      <c r="E104" s="21" t="s">
        <v>258</v>
      </c>
      <c r="F104" s="21" t="s">
        <v>380</v>
      </c>
      <c r="G104" s="22">
        <v>2.0</v>
      </c>
      <c r="H104" s="22" t="s">
        <v>66</v>
      </c>
      <c r="I104" s="23">
        <v>6.09</v>
      </c>
      <c r="J104" s="23">
        <v>609.0</v>
      </c>
      <c r="K104" s="21" t="s">
        <v>104</v>
      </c>
    </row>
    <row r="105" ht="21.75" customHeight="1">
      <c r="A105" s="20">
        <v>45421.0</v>
      </c>
      <c r="B105" s="21" t="s">
        <v>483</v>
      </c>
      <c r="C105" s="21" t="s">
        <v>71</v>
      </c>
      <c r="D105" s="21" t="s">
        <v>42</v>
      </c>
      <c r="E105" s="21" t="s">
        <v>204</v>
      </c>
      <c r="F105" s="21" t="s">
        <v>337</v>
      </c>
      <c r="G105" s="22">
        <v>5.0</v>
      </c>
      <c r="H105" s="22" t="s">
        <v>66</v>
      </c>
      <c r="I105" s="23">
        <v>8.57</v>
      </c>
      <c r="J105" s="23">
        <v>2142.5</v>
      </c>
      <c r="K105" s="21" t="s">
        <v>104</v>
      </c>
    </row>
    <row r="106" ht="21.75" customHeight="1">
      <c r="A106" s="20">
        <v>45428.0</v>
      </c>
      <c r="B106" s="21" t="s">
        <v>489</v>
      </c>
      <c r="C106" s="21" t="s">
        <v>71</v>
      </c>
      <c r="D106" s="21" t="s">
        <v>42</v>
      </c>
      <c r="E106" s="21" t="s">
        <v>258</v>
      </c>
      <c r="F106" s="21" t="s">
        <v>380</v>
      </c>
      <c r="G106" s="22">
        <v>2.0</v>
      </c>
      <c r="H106" s="22" t="s">
        <v>66</v>
      </c>
      <c r="I106" s="23">
        <v>6.09</v>
      </c>
      <c r="J106" s="23">
        <v>609.0</v>
      </c>
      <c r="K106" s="21" t="s">
        <v>104</v>
      </c>
    </row>
    <row r="107" ht="21.75" customHeight="1">
      <c r="A107" s="20">
        <v>45435.0</v>
      </c>
      <c r="B107" s="21" t="s">
        <v>491</v>
      </c>
      <c r="C107" s="21" t="s">
        <v>71</v>
      </c>
      <c r="D107" s="21" t="s">
        <v>42</v>
      </c>
      <c r="E107" s="21" t="s">
        <v>399</v>
      </c>
      <c r="F107" s="21" t="s">
        <v>492</v>
      </c>
      <c r="G107" s="22">
        <v>52.0</v>
      </c>
      <c r="H107" s="22" t="s">
        <v>73</v>
      </c>
      <c r="I107" s="23">
        <v>14.88</v>
      </c>
      <c r="J107" s="23">
        <v>773.76</v>
      </c>
      <c r="K107" s="21" t="s">
        <v>104</v>
      </c>
    </row>
    <row r="108" ht="21.75" customHeight="1">
      <c r="A108" s="20">
        <v>45443.0</v>
      </c>
      <c r="B108" s="21" t="s">
        <v>493</v>
      </c>
      <c r="C108" s="21" t="s">
        <v>71</v>
      </c>
      <c r="D108" s="21" t="s">
        <v>42</v>
      </c>
      <c r="E108" s="21" t="s">
        <v>495</v>
      </c>
      <c r="F108" s="21" t="s">
        <v>496</v>
      </c>
      <c r="G108" s="22">
        <v>52.0</v>
      </c>
      <c r="H108" s="22" t="s">
        <v>73</v>
      </c>
      <c r="I108" s="23">
        <v>14.88</v>
      </c>
      <c r="J108" s="23">
        <v>773.76</v>
      </c>
      <c r="K108" s="21" t="s">
        <v>104</v>
      </c>
    </row>
    <row r="109" ht="21.75" customHeight="1">
      <c r="A109" s="20">
        <v>45443.0</v>
      </c>
      <c r="B109" s="21" t="s">
        <v>497</v>
      </c>
      <c r="C109" s="21" t="s">
        <v>71</v>
      </c>
      <c r="D109" s="21" t="s">
        <v>42</v>
      </c>
      <c r="E109" s="21" t="s">
        <v>409</v>
      </c>
      <c r="F109" s="21" t="s">
        <v>499</v>
      </c>
      <c r="G109" s="22">
        <v>52.0</v>
      </c>
      <c r="H109" s="22" t="s">
        <v>73</v>
      </c>
      <c r="I109" s="23">
        <v>14.88</v>
      </c>
      <c r="J109" s="23">
        <v>773.76</v>
      </c>
      <c r="K109" s="21" t="s">
        <v>104</v>
      </c>
    </row>
    <row r="110" ht="21.75" customHeight="1">
      <c r="A110" s="20">
        <v>45460.0</v>
      </c>
      <c r="B110" s="21" t="s">
        <v>501</v>
      </c>
      <c r="C110" s="21" t="s">
        <v>71</v>
      </c>
      <c r="D110" s="21" t="s">
        <v>42</v>
      </c>
      <c r="E110" s="21" t="s">
        <v>75</v>
      </c>
      <c r="F110" s="21" t="s">
        <v>76</v>
      </c>
      <c r="G110" s="22">
        <v>1.0</v>
      </c>
      <c r="H110" s="22" t="s">
        <v>66</v>
      </c>
      <c r="I110" s="23">
        <v>6.92</v>
      </c>
      <c r="J110" s="23">
        <v>346.0</v>
      </c>
      <c r="K110" s="21" t="s">
        <v>104</v>
      </c>
    </row>
    <row r="111" ht="21.75" customHeight="1">
      <c r="A111" s="20">
        <v>45532.0</v>
      </c>
      <c r="B111" s="21" t="s">
        <v>502</v>
      </c>
      <c r="C111" s="21" t="s">
        <v>176</v>
      </c>
      <c r="D111" s="21" t="s">
        <v>175</v>
      </c>
      <c r="E111" s="21" t="s">
        <v>192</v>
      </c>
      <c r="F111" s="21" t="s">
        <v>504</v>
      </c>
      <c r="G111" s="22">
        <v>6.0</v>
      </c>
      <c r="H111" s="22" t="s">
        <v>177</v>
      </c>
      <c r="I111" s="23">
        <v>19.95</v>
      </c>
      <c r="J111" s="23">
        <f t="shared" ref="J111:J122" si="1">G111*I111</f>
        <v>119.7</v>
      </c>
      <c r="K111" s="21" t="s">
        <v>104</v>
      </c>
    </row>
    <row r="112" ht="21.75" customHeight="1">
      <c r="A112" s="20">
        <v>45532.0</v>
      </c>
      <c r="B112" s="21" t="s">
        <v>502</v>
      </c>
      <c r="C112" s="21" t="s">
        <v>176</v>
      </c>
      <c r="D112" s="21" t="s">
        <v>175</v>
      </c>
      <c r="E112" s="21" t="s">
        <v>509</v>
      </c>
      <c r="F112" s="21" t="s">
        <v>510</v>
      </c>
      <c r="G112" s="22">
        <v>1.0</v>
      </c>
      <c r="H112" s="22" t="s">
        <v>177</v>
      </c>
      <c r="I112" s="23">
        <v>18.0</v>
      </c>
      <c r="J112" s="23">
        <f t="shared" si="1"/>
        <v>18</v>
      </c>
      <c r="K112" s="21" t="s">
        <v>104</v>
      </c>
    </row>
    <row r="113" ht="21.75" customHeight="1">
      <c r="A113" s="20">
        <v>45532.0</v>
      </c>
      <c r="B113" s="21" t="s">
        <v>502</v>
      </c>
      <c r="C113" s="21" t="s">
        <v>176</v>
      </c>
      <c r="D113" s="21" t="s">
        <v>175</v>
      </c>
      <c r="E113" s="21" t="s">
        <v>320</v>
      </c>
      <c r="F113" s="21" t="s">
        <v>512</v>
      </c>
      <c r="G113" s="22">
        <v>1.0</v>
      </c>
      <c r="H113" s="22" t="s">
        <v>177</v>
      </c>
      <c r="I113" s="23">
        <v>18.0</v>
      </c>
      <c r="J113" s="23">
        <f t="shared" si="1"/>
        <v>18</v>
      </c>
      <c r="K113" s="21" t="s">
        <v>104</v>
      </c>
    </row>
    <row r="114" ht="21.75" customHeight="1">
      <c r="A114" s="20">
        <v>45532.0</v>
      </c>
      <c r="B114" s="21" t="s">
        <v>502</v>
      </c>
      <c r="C114" s="21" t="s">
        <v>176</v>
      </c>
      <c r="D114" s="21" t="s">
        <v>175</v>
      </c>
      <c r="E114" s="21" t="s">
        <v>220</v>
      </c>
      <c r="F114" s="21" t="s">
        <v>513</v>
      </c>
      <c r="G114" s="22">
        <v>1.0</v>
      </c>
      <c r="H114" s="22" t="s">
        <v>177</v>
      </c>
      <c r="I114" s="23">
        <v>275.0</v>
      </c>
      <c r="J114" s="23">
        <f t="shared" si="1"/>
        <v>275</v>
      </c>
      <c r="K114" s="21" t="s">
        <v>104</v>
      </c>
    </row>
    <row r="115" ht="21.75" customHeight="1">
      <c r="A115" s="20">
        <v>45532.0</v>
      </c>
      <c r="B115" s="21" t="s">
        <v>502</v>
      </c>
      <c r="C115" s="21" t="s">
        <v>176</v>
      </c>
      <c r="D115" s="21" t="s">
        <v>175</v>
      </c>
      <c r="E115" s="21" t="s">
        <v>207</v>
      </c>
      <c r="F115" s="21" t="s">
        <v>515</v>
      </c>
      <c r="G115" s="22">
        <v>3.0</v>
      </c>
      <c r="H115" s="22" t="s">
        <v>177</v>
      </c>
      <c r="I115" s="23">
        <v>5.99</v>
      </c>
      <c r="J115" s="23">
        <f t="shared" si="1"/>
        <v>17.97</v>
      </c>
      <c r="K115" s="21" t="s">
        <v>104</v>
      </c>
    </row>
    <row r="116" ht="21.75" customHeight="1">
      <c r="A116" s="20">
        <v>45532.0</v>
      </c>
      <c r="B116" s="21" t="s">
        <v>502</v>
      </c>
      <c r="C116" s="21" t="s">
        <v>176</v>
      </c>
      <c r="D116" s="21" t="s">
        <v>175</v>
      </c>
      <c r="E116" s="21" t="s">
        <v>304</v>
      </c>
      <c r="F116" s="21" t="s">
        <v>518</v>
      </c>
      <c r="G116" s="22">
        <v>3.0</v>
      </c>
      <c r="H116" s="22" t="s">
        <v>177</v>
      </c>
      <c r="I116" s="23">
        <v>26.6</v>
      </c>
      <c r="J116" s="23">
        <f t="shared" si="1"/>
        <v>79.8</v>
      </c>
      <c r="K116" s="21" t="s">
        <v>104</v>
      </c>
    </row>
    <row r="117" ht="21.75" customHeight="1">
      <c r="A117" s="20">
        <v>45532.0</v>
      </c>
      <c r="B117" s="21" t="s">
        <v>502</v>
      </c>
      <c r="C117" s="21" t="s">
        <v>176</v>
      </c>
      <c r="D117" s="21" t="s">
        <v>175</v>
      </c>
      <c r="E117" s="21" t="s">
        <v>351</v>
      </c>
      <c r="F117" s="21" t="s">
        <v>521</v>
      </c>
      <c r="G117" s="22">
        <v>1.0</v>
      </c>
      <c r="H117" s="22" t="s">
        <v>177</v>
      </c>
      <c r="I117" s="23">
        <v>125.0</v>
      </c>
      <c r="J117" s="23">
        <f t="shared" si="1"/>
        <v>125</v>
      </c>
      <c r="K117" s="21" t="s">
        <v>104</v>
      </c>
    </row>
    <row r="118" ht="21.75" customHeight="1">
      <c r="A118" s="20">
        <v>45532.0</v>
      </c>
      <c r="B118" s="21" t="s">
        <v>502</v>
      </c>
      <c r="C118" s="21" t="s">
        <v>176</v>
      </c>
      <c r="D118" s="21" t="s">
        <v>175</v>
      </c>
      <c r="E118" s="21" t="s">
        <v>523</v>
      </c>
      <c r="F118" s="21" t="s">
        <v>524</v>
      </c>
      <c r="G118" s="22">
        <v>1.0</v>
      </c>
      <c r="H118" s="22" t="s">
        <v>177</v>
      </c>
      <c r="I118" s="23">
        <v>15.0</v>
      </c>
      <c r="J118" s="23">
        <f t="shared" si="1"/>
        <v>15</v>
      </c>
      <c r="K118" s="21" t="s">
        <v>104</v>
      </c>
    </row>
    <row r="119" ht="21.75" customHeight="1">
      <c r="A119" s="20">
        <v>45532.0</v>
      </c>
      <c r="B119" s="21" t="s">
        <v>502</v>
      </c>
      <c r="C119" s="21" t="s">
        <v>176</v>
      </c>
      <c r="D119" s="21" t="s">
        <v>175</v>
      </c>
      <c r="E119" s="21" t="s">
        <v>528</v>
      </c>
      <c r="F119" s="21" t="s">
        <v>530</v>
      </c>
      <c r="G119" s="22">
        <v>1.0</v>
      </c>
      <c r="H119" s="22" t="s">
        <v>177</v>
      </c>
      <c r="I119" s="23">
        <v>39.77</v>
      </c>
      <c r="J119" s="23">
        <f t="shared" si="1"/>
        <v>39.77</v>
      </c>
      <c r="K119" s="21" t="s">
        <v>104</v>
      </c>
    </row>
    <row r="120" ht="21.75" customHeight="1">
      <c r="A120" s="20">
        <v>45532.0</v>
      </c>
      <c r="B120" s="21" t="s">
        <v>502</v>
      </c>
      <c r="C120" s="21" t="s">
        <v>176</v>
      </c>
      <c r="D120" s="21" t="s">
        <v>175</v>
      </c>
      <c r="E120" s="21" t="s">
        <v>192</v>
      </c>
      <c r="F120" s="21" t="s">
        <v>504</v>
      </c>
      <c r="G120" s="22">
        <v>1.0</v>
      </c>
      <c r="H120" s="22" t="s">
        <v>177</v>
      </c>
      <c r="I120" s="23">
        <v>19.95</v>
      </c>
      <c r="J120" s="23">
        <f t="shared" si="1"/>
        <v>19.95</v>
      </c>
      <c r="K120" s="21" t="s">
        <v>104</v>
      </c>
    </row>
    <row r="121" ht="21.75" customHeight="1">
      <c r="A121" s="20">
        <v>45532.0</v>
      </c>
      <c r="B121" s="21" t="s">
        <v>502</v>
      </c>
      <c r="C121" s="21" t="s">
        <v>176</v>
      </c>
      <c r="D121" s="21" t="s">
        <v>175</v>
      </c>
      <c r="E121" s="21" t="s">
        <v>256</v>
      </c>
      <c r="F121" s="21" t="s">
        <v>536</v>
      </c>
      <c r="G121" s="22">
        <v>1.0</v>
      </c>
      <c r="H121" s="22" t="s">
        <v>177</v>
      </c>
      <c r="I121" s="23">
        <v>48.0</v>
      </c>
      <c r="J121" s="23">
        <f t="shared" si="1"/>
        <v>48</v>
      </c>
      <c r="K121" s="21" t="s">
        <v>104</v>
      </c>
    </row>
    <row r="122" ht="21.75" customHeight="1">
      <c r="A122" s="20">
        <v>45532.0</v>
      </c>
      <c r="B122" s="21" t="s">
        <v>502</v>
      </c>
      <c r="C122" s="21" t="s">
        <v>176</v>
      </c>
      <c r="D122" s="21" t="s">
        <v>175</v>
      </c>
      <c r="E122" s="21" t="s">
        <v>539</v>
      </c>
      <c r="F122" s="21" t="s">
        <v>541</v>
      </c>
      <c r="G122" s="22">
        <v>2.0</v>
      </c>
      <c r="H122" s="22" t="s">
        <v>177</v>
      </c>
      <c r="I122" s="23">
        <v>22.0</v>
      </c>
      <c r="J122" s="23">
        <f t="shared" si="1"/>
        <v>44</v>
      </c>
      <c r="K122" s="21" t="s">
        <v>104</v>
      </c>
    </row>
    <row r="123" ht="21.75" customHeight="1">
      <c r="A123" s="20">
        <v>45539.0</v>
      </c>
      <c r="B123" s="21" t="s">
        <v>544</v>
      </c>
      <c r="C123" s="21" t="s">
        <v>71</v>
      </c>
      <c r="D123" s="21" t="s">
        <v>42</v>
      </c>
      <c r="E123" s="21" t="s">
        <v>331</v>
      </c>
      <c r="F123" s="21" t="s">
        <v>332</v>
      </c>
      <c r="G123" s="22">
        <v>1.0</v>
      </c>
      <c r="H123" s="22" t="s">
        <v>66</v>
      </c>
      <c r="I123" s="23">
        <v>9.84</v>
      </c>
      <c r="J123" s="23">
        <v>492.0</v>
      </c>
      <c r="K123" s="21" t="s">
        <v>104</v>
      </c>
    </row>
    <row r="124" ht="21.75" customHeight="1">
      <c r="A124" s="20">
        <v>45539.0</v>
      </c>
      <c r="B124" s="21" t="s">
        <v>544</v>
      </c>
      <c r="C124" s="21" t="s">
        <v>71</v>
      </c>
      <c r="D124" s="21" t="s">
        <v>42</v>
      </c>
      <c r="E124" s="21" t="s">
        <v>75</v>
      </c>
      <c r="F124" s="21" t="s">
        <v>76</v>
      </c>
      <c r="G124" s="22">
        <v>2.0</v>
      </c>
      <c r="H124" s="22" t="s">
        <v>66</v>
      </c>
      <c r="I124" s="23">
        <v>6.92</v>
      </c>
      <c r="J124" s="23">
        <v>692.0</v>
      </c>
      <c r="K124" s="21" t="s">
        <v>104</v>
      </c>
    </row>
    <row r="125" ht="21.75" customHeight="1">
      <c r="A125" s="20">
        <v>45539.0</v>
      </c>
      <c r="B125" s="21" t="s">
        <v>544</v>
      </c>
      <c r="C125" s="21" t="s">
        <v>71</v>
      </c>
      <c r="D125" s="21" t="s">
        <v>42</v>
      </c>
      <c r="E125" s="21" t="s">
        <v>279</v>
      </c>
      <c r="F125" s="21" t="s">
        <v>375</v>
      </c>
      <c r="G125" s="22">
        <v>3.0</v>
      </c>
      <c r="H125" s="22" t="s">
        <v>66</v>
      </c>
      <c r="I125" s="23">
        <v>8.68</v>
      </c>
      <c r="J125" s="23">
        <v>1302.0</v>
      </c>
      <c r="K125" s="21" t="s">
        <v>104</v>
      </c>
    </row>
    <row r="126" ht="21.75" customHeight="1">
      <c r="A126" s="20">
        <v>45539.0</v>
      </c>
      <c r="B126" s="21" t="s">
        <v>544</v>
      </c>
      <c r="C126" s="21" t="s">
        <v>71</v>
      </c>
      <c r="D126" s="21" t="s">
        <v>42</v>
      </c>
      <c r="E126" s="21" t="s">
        <v>258</v>
      </c>
      <c r="F126" s="21" t="s">
        <v>380</v>
      </c>
      <c r="G126" s="22">
        <v>1.0</v>
      </c>
      <c r="H126" s="22" t="s">
        <v>66</v>
      </c>
      <c r="I126" s="23">
        <v>6.39</v>
      </c>
      <c r="J126" s="23">
        <v>319.5</v>
      </c>
      <c r="K126" s="21" t="s">
        <v>104</v>
      </c>
    </row>
    <row r="127" ht="21.75" customHeight="1">
      <c r="A127" s="20">
        <v>45539.0</v>
      </c>
      <c r="B127" s="21" t="s">
        <v>544</v>
      </c>
      <c r="C127" s="21" t="s">
        <v>71</v>
      </c>
      <c r="D127" s="21" t="s">
        <v>42</v>
      </c>
      <c r="E127" s="21" t="s">
        <v>343</v>
      </c>
      <c r="F127" s="21" t="s">
        <v>395</v>
      </c>
      <c r="G127" s="22">
        <v>1.0</v>
      </c>
      <c r="H127" s="22" t="s">
        <v>66</v>
      </c>
      <c r="I127" s="23">
        <v>8.23</v>
      </c>
      <c r="J127" s="23">
        <v>411.5</v>
      </c>
      <c r="K127" s="21" t="s">
        <v>104</v>
      </c>
    </row>
    <row r="128" ht="21.75" customHeight="1">
      <c r="A128" s="20">
        <v>45539.0</v>
      </c>
      <c r="B128" s="21" t="s">
        <v>544</v>
      </c>
      <c r="C128" s="21" t="s">
        <v>71</v>
      </c>
      <c r="D128" s="21" t="s">
        <v>42</v>
      </c>
      <c r="E128" s="21" t="s">
        <v>204</v>
      </c>
      <c r="F128" s="21" t="s">
        <v>337</v>
      </c>
      <c r="G128" s="22">
        <v>6.0</v>
      </c>
      <c r="H128" s="22" t="s">
        <v>66</v>
      </c>
      <c r="I128" s="23">
        <v>9.0</v>
      </c>
      <c r="J128" s="23">
        <v>2700.0</v>
      </c>
      <c r="K128" s="21" t="s">
        <v>104</v>
      </c>
    </row>
    <row r="129" ht="21.75" customHeight="1">
      <c r="A129" s="20">
        <v>45551.0</v>
      </c>
      <c r="B129" s="21" t="s">
        <v>556</v>
      </c>
      <c r="C129" s="21" t="s">
        <v>176</v>
      </c>
      <c r="D129" s="21" t="s">
        <v>175</v>
      </c>
      <c r="E129" s="21" t="s">
        <v>281</v>
      </c>
      <c r="F129" s="21" t="s">
        <v>558</v>
      </c>
      <c r="G129" s="22">
        <v>1.0</v>
      </c>
      <c r="H129" s="22" t="s">
        <v>177</v>
      </c>
      <c r="I129" s="23">
        <v>12.99</v>
      </c>
      <c r="J129" s="23">
        <f t="shared" ref="J129:J138" si="2">G129*I129</f>
        <v>12.99</v>
      </c>
      <c r="K129" s="21" t="s">
        <v>104</v>
      </c>
    </row>
    <row r="130" ht="21.75" customHeight="1">
      <c r="A130" s="20">
        <v>45551.0</v>
      </c>
      <c r="B130" s="21" t="s">
        <v>556</v>
      </c>
      <c r="C130" s="21" t="s">
        <v>176</v>
      </c>
      <c r="D130" s="21" t="s">
        <v>175</v>
      </c>
      <c r="E130" s="21" t="s">
        <v>225</v>
      </c>
      <c r="F130" s="21" t="s">
        <v>563</v>
      </c>
      <c r="G130" s="22">
        <v>1.0</v>
      </c>
      <c r="H130" s="22" t="s">
        <v>177</v>
      </c>
      <c r="I130" s="23">
        <v>70.0</v>
      </c>
      <c r="J130" s="23">
        <f t="shared" si="2"/>
        <v>70</v>
      </c>
      <c r="K130" s="21" t="s">
        <v>104</v>
      </c>
    </row>
    <row r="131" ht="21.75" customHeight="1">
      <c r="A131" s="20">
        <v>45551.0</v>
      </c>
      <c r="B131" s="21" t="s">
        <v>556</v>
      </c>
      <c r="C131" s="21" t="s">
        <v>176</v>
      </c>
      <c r="D131" s="21" t="s">
        <v>175</v>
      </c>
      <c r="E131" s="21" t="s">
        <v>207</v>
      </c>
      <c r="F131" s="21" t="s">
        <v>515</v>
      </c>
      <c r="G131" s="22">
        <v>3.0</v>
      </c>
      <c r="H131" s="22" t="s">
        <v>177</v>
      </c>
      <c r="I131" s="23">
        <v>5.99</v>
      </c>
      <c r="J131" s="23">
        <f t="shared" si="2"/>
        <v>17.97</v>
      </c>
      <c r="K131" s="21" t="s">
        <v>104</v>
      </c>
    </row>
    <row r="132" ht="21.75" customHeight="1">
      <c r="A132" s="20">
        <v>45551.0</v>
      </c>
      <c r="B132" s="21" t="s">
        <v>556</v>
      </c>
      <c r="C132" s="21" t="s">
        <v>176</v>
      </c>
      <c r="D132" s="21" t="s">
        <v>175</v>
      </c>
      <c r="E132" s="21" t="s">
        <v>256</v>
      </c>
      <c r="F132" s="21" t="s">
        <v>536</v>
      </c>
      <c r="G132" s="22">
        <v>1.0</v>
      </c>
      <c r="H132" s="22" t="s">
        <v>177</v>
      </c>
      <c r="I132" s="23">
        <v>48.0</v>
      </c>
      <c r="J132" s="23">
        <f t="shared" si="2"/>
        <v>48</v>
      </c>
      <c r="K132" s="21" t="s">
        <v>104</v>
      </c>
    </row>
    <row r="133" ht="21.75" customHeight="1">
      <c r="A133" s="20">
        <v>45600.0</v>
      </c>
      <c r="B133" s="21" t="s">
        <v>571</v>
      </c>
      <c r="C133" s="21" t="s">
        <v>176</v>
      </c>
      <c r="D133" s="21" t="s">
        <v>175</v>
      </c>
      <c r="E133" s="21" t="s">
        <v>351</v>
      </c>
      <c r="F133" s="21" t="s">
        <v>521</v>
      </c>
      <c r="G133" s="22">
        <v>1.0</v>
      </c>
      <c r="H133" s="22" t="s">
        <v>177</v>
      </c>
      <c r="I133" s="23">
        <v>125.0</v>
      </c>
      <c r="J133" s="23">
        <f t="shared" si="2"/>
        <v>125</v>
      </c>
      <c r="K133" s="21" t="s">
        <v>104</v>
      </c>
    </row>
    <row r="134" ht="21.75" customHeight="1">
      <c r="A134" s="20">
        <v>45600.0</v>
      </c>
      <c r="B134" s="21" t="s">
        <v>571</v>
      </c>
      <c r="C134" s="21" t="s">
        <v>176</v>
      </c>
      <c r="D134" s="21" t="s">
        <v>175</v>
      </c>
      <c r="E134" s="21" t="s">
        <v>320</v>
      </c>
      <c r="F134" s="21" t="s">
        <v>512</v>
      </c>
      <c r="G134" s="22">
        <v>1.0</v>
      </c>
      <c r="H134" s="22" t="s">
        <v>177</v>
      </c>
      <c r="I134" s="23">
        <v>18.0</v>
      </c>
      <c r="J134" s="23">
        <f t="shared" si="2"/>
        <v>18</v>
      </c>
      <c r="K134" s="21" t="s">
        <v>104</v>
      </c>
    </row>
    <row r="135" ht="21.75" customHeight="1">
      <c r="A135" s="20">
        <v>45600.0</v>
      </c>
      <c r="B135" s="21" t="s">
        <v>571</v>
      </c>
      <c r="C135" s="21" t="s">
        <v>176</v>
      </c>
      <c r="D135" s="21" t="s">
        <v>175</v>
      </c>
      <c r="E135" s="21" t="s">
        <v>334</v>
      </c>
      <c r="F135" s="21" t="s">
        <v>580</v>
      </c>
      <c r="G135" s="22">
        <v>1.0</v>
      </c>
      <c r="H135" s="22" t="s">
        <v>177</v>
      </c>
      <c r="I135" s="23">
        <v>33.0</v>
      </c>
      <c r="J135" s="23">
        <f t="shared" si="2"/>
        <v>33</v>
      </c>
      <c r="K135" s="21" t="s">
        <v>104</v>
      </c>
    </row>
    <row r="136" ht="21.75" customHeight="1">
      <c r="A136" s="20">
        <v>45600.0</v>
      </c>
      <c r="B136" s="21" t="s">
        <v>571</v>
      </c>
      <c r="C136" s="21" t="s">
        <v>176</v>
      </c>
      <c r="D136" s="21" t="s">
        <v>175</v>
      </c>
      <c r="E136" s="21" t="s">
        <v>225</v>
      </c>
      <c r="F136" s="21" t="s">
        <v>563</v>
      </c>
      <c r="G136" s="22">
        <v>1.0</v>
      </c>
      <c r="H136" s="22" t="s">
        <v>177</v>
      </c>
      <c r="I136" s="23">
        <v>70.0</v>
      </c>
      <c r="J136" s="23">
        <f t="shared" si="2"/>
        <v>70</v>
      </c>
      <c r="K136" s="21" t="s">
        <v>104</v>
      </c>
    </row>
    <row r="137" ht="21.75" customHeight="1">
      <c r="A137" s="20">
        <v>45600.0</v>
      </c>
      <c r="B137" s="21" t="s">
        <v>571</v>
      </c>
      <c r="C137" s="21" t="s">
        <v>176</v>
      </c>
      <c r="D137" s="21" t="s">
        <v>175</v>
      </c>
      <c r="E137" s="21" t="s">
        <v>192</v>
      </c>
      <c r="F137" s="21" t="s">
        <v>504</v>
      </c>
      <c r="G137" s="22">
        <v>3.0</v>
      </c>
      <c r="H137" s="22" t="s">
        <v>177</v>
      </c>
      <c r="I137" s="23">
        <v>19.95</v>
      </c>
      <c r="J137" s="23">
        <f t="shared" si="2"/>
        <v>59.85</v>
      </c>
      <c r="K137" s="21" t="s">
        <v>104</v>
      </c>
    </row>
    <row r="138" ht="21.75" customHeight="1">
      <c r="A138" s="20">
        <v>45600.0</v>
      </c>
      <c r="B138" s="21" t="s">
        <v>571</v>
      </c>
      <c r="C138" s="21" t="s">
        <v>176</v>
      </c>
      <c r="D138" s="21" t="s">
        <v>175</v>
      </c>
      <c r="E138" s="21" t="s">
        <v>207</v>
      </c>
      <c r="F138" s="21" t="s">
        <v>515</v>
      </c>
      <c r="G138" s="22">
        <v>3.0</v>
      </c>
      <c r="H138" s="22" t="s">
        <v>177</v>
      </c>
      <c r="I138" s="23">
        <v>5.99</v>
      </c>
      <c r="J138" s="23">
        <f t="shared" si="2"/>
        <v>17.97</v>
      </c>
      <c r="K138" s="21" t="s">
        <v>104</v>
      </c>
    </row>
    <row r="139" ht="21.75" customHeight="1">
      <c r="A139" s="20">
        <v>45603.0</v>
      </c>
      <c r="B139" s="21" t="s">
        <v>595</v>
      </c>
      <c r="C139" s="21" t="s">
        <v>307</v>
      </c>
      <c r="D139" s="21" t="s">
        <v>42</v>
      </c>
      <c r="E139" s="21" t="s">
        <v>309</v>
      </c>
      <c r="F139" s="21" t="s">
        <v>596</v>
      </c>
      <c r="G139" s="22">
        <v>2000.0</v>
      </c>
      <c r="H139" s="22" t="s">
        <v>73</v>
      </c>
      <c r="I139" s="24">
        <v>0.144</v>
      </c>
      <c r="J139" s="23">
        <v>288.0</v>
      </c>
      <c r="K139" s="21" t="s">
        <v>104</v>
      </c>
    </row>
    <row r="140" ht="21.75" customHeight="1">
      <c r="A140" s="20">
        <v>45603.0</v>
      </c>
      <c r="B140" s="21" t="s">
        <v>601</v>
      </c>
      <c r="C140" s="21" t="s">
        <v>307</v>
      </c>
      <c r="D140" s="21" t="s">
        <v>42</v>
      </c>
      <c r="E140" s="21" t="s">
        <v>317</v>
      </c>
      <c r="F140" s="21" t="s">
        <v>602</v>
      </c>
      <c r="G140" s="22">
        <v>1.0</v>
      </c>
      <c r="H140" s="22" t="s">
        <v>73</v>
      </c>
      <c r="I140" s="23">
        <v>92.0</v>
      </c>
      <c r="J140" s="23">
        <v>92.0</v>
      </c>
      <c r="K140" s="21" t="s">
        <v>104</v>
      </c>
    </row>
    <row r="141" ht="21.75" customHeight="1">
      <c r="A141" s="20">
        <v>45608.0</v>
      </c>
      <c r="B141" s="21" t="s">
        <v>606</v>
      </c>
      <c r="C141" s="21" t="s">
        <v>71</v>
      </c>
      <c r="D141" s="21" t="s">
        <v>42</v>
      </c>
      <c r="E141" s="21" t="s">
        <v>75</v>
      </c>
      <c r="F141" s="21" t="s">
        <v>76</v>
      </c>
      <c r="G141" s="22">
        <v>1.0</v>
      </c>
      <c r="H141" s="22" t="s">
        <v>66</v>
      </c>
      <c r="I141" s="23">
        <v>6.92</v>
      </c>
      <c r="J141" s="23">
        <v>346.0</v>
      </c>
      <c r="K141" s="21" t="s">
        <v>104</v>
      </c>
    </row>
    <row r="142" ht="21.75" customHeight="1">
      <c r="A142" s="20">
        <v>45608.0</v>
      </c>
      <c r="B142" s="21" t="s">
        <v>606</v>
      </c>
      <c r="C142" s="21" t="s">
        <v>71</v>
      </c>
      <c r="D142" s="21" t="s">
        <v>42</v>
      </c>
      <c r="E142" s="21" t="s">
        <v>279</v>
      </c>
      <c r="F142" s="21" t="s">
        <v>375</v>
      </c>
      <c r="G142" s="22">
        <v>1.0</v>
      </c>
      <c r="H142" s="22" t="s">
        <v>66</v>
      </c>
      <c r="I142" s="23">
        <v>8.68</v>
      </c>
      <c r="J142" s="23">
        <v>434.0</v>
      </c>
      <c r="K142" s="21" t="s">
        <v>104</v>
      </c>
    </row>
    <row r="143" ht="21.75" customHeight="1">
      <c r="A143" s="20">
        <v>45663.0</v>
      </c>
      <c r="B143" s="21" t="s">
        <v>613</v>
      </c>
      <c r="C143" s="21" t="s">
        <v>41</v>
      </c>
      <c r="D143" s="21" t="s">
        <v>42</v>
      </c>
      <c r="E143" s="21" t="s">
        <v>597</v>
      </c>
      <c r="F143" s="21" t="s">
        <v>614</v>
      </c>
      <c r="G143" s="22">
        <v>300.0</v>
      </c>
      <c r="H143" s="22" t="s">
        <v>49</v>
      </c>
      <c r="I143" s="23">
        <v>1.77</v>
      </c>
      <c r="J143" s="23">
        <v>531.0</v>
      </c>
      <c r="K143" s="21" t="s">
        <v>104</v>
      </c>
    </row>
    <row r="144" ht="21.75" customHeight="1">
      <c r="A144" s="20">
        <v>45663.0</v>
      </c>
      <c r="B144" s="21" t="s">
        <v>613</v>
      </c>
      <c r="C144" s="21" t="s">
        <v>41</v>
      </c>
      <c r="D144" s="21" t="s">
        <v>42</v>
      </c>
      <c r="E144" s="21" t="s">
        <v>402</v>
      </c>
      <c r="F144" s="21" t="s">
        <v>619</v>
      </c>
      <c r="G144" s="22">
        <v>300.0</v>
      </c>
      <c r="H144" s="22" t="s">
        <v>49</v>
      </c>
      <c r="I144" s="23">
        <v>0.99</v>
      </c>
      <c r="J144" s="23">
        <v>297.0</v>
      </c>
      <c r="K144" s="21" t="s">
        <v>104</v>
      </c>
    </row>
    <row r="145" ht="21.75" customHeight="1">
      <c r="A145" s="20">
        <v>45663.0</v>
      </c>
      <c r="B145" s="21" t="s">
        <v>613</v>
      </c>
      <c r="C145" s="21" t="s">
        <v>41</v>
      </c>
      <c r="D145" s="21" t="s">
        <v>42</v>
      </c>
      <c r="E145" s="21" t="s">
        <v>621</v>
      </c>
      <c r="F145" s="21" t="s">
        <v>623</v>
      </c>
      <c r="G145" s="22">
        <v>20.0</v>
      </c>
      <c r="H145" s="22" t="s">
        <v>49</v>
      </c>
      <c r="I145" s="23">
        <v>2.71</v>
      </c>
      <c r="J145" s="23">
        <v>54.2</v>
      </c>
      <c r="K145" s="21" t="s">
        <v>104</v>
      </c>
    </row>
    <row r="146" ht="21.75" customHeight="1">
      <c r="A146" s="20">
        <v>45663.0</v>
      </c>
      <c r="B146" s="21" t="s">
        <v>613</v>
      </c>
      <c r="C146" s="21" t="s">
        <v>41</v>
      </c>
      <c r="D146" s="21" t="s">
        <v>42</v>
      </c>
      <c r="E146" s="21" t="s">
        <v>627</v>
      </c>
      <c r="F146" s="21" t="s">
        <v>628</v>
      </c>
      <c r="G146" s="22">
        <v>120.0</v>
      </c>
      <c r="H146" s="22" t="s">
        <v>49</v>
      </c>
      <c r="I146" s="23">
        <v>0.91</v>
      </c>
      <c r="J146" s="23">
        <v>109.2</v>
      </c>
      <c r="K146" s="21" t="s">
        <v>104</v>
      </c>
    </row>
    <row r="147" ht="21.75" customHeight="1">
      <c r="A147" s="20">
        <v>45663.0</v>
      </c>
      <c r="B147" s="21" t="s">
        <v>634</v>
      </c>
      <c r="C147" s="21" t="s">
        <v>176</v>
      </c>
      <c r="D147" s="21" t="s">
        <v>175</v>
      </c>
      <c r="E147" s="21" t="s">
        <v>635</v>
      </c>
      <c r="F147" s="21" t="s">
        <v>637</v>
      </c>
      <c r="G147" s="22">
        <v>1.0</v>
      </c>
      <c r="H147" s="22" t="s">
        <v>177</v>
      </c>
      <c r="I147" s="23">
        <v>34.5</v>
      </c>
      <c r="J147" s="23">
        <f t="shared" ref="J147:J151" si="3">G147*I147</f>
        <v>34.5</v>
      </c>
      <c r="K147" s="21" t="s">
        <v>104</v>
      </c>
    </row>
    <row r="148" ht="21.75" customHeight="1">
      <c r="A148" s="20">
        <v>45663.0</v>
      </c>
      <c r="B148" s="21" t="s">
        <v>634</v>
      </c>
      <c r="C148" s="21" t="s">
        <v>176</v>
      </c>
      <c r="D148" s="21" t="s">
        <v>175</v>
      </c>
      <c r="E148" s="21" t="s">
        <v>644</v>
      </c>
      <c r="F148" s="21" t="s">
        <v>645</v>
      </c>
      <c r="G148" s="22">
        <v>1.0</v>
      </c>
      <c r="H148" s="22" t="s">
        <v>177</v>
      </c>
      <c r="I148" s="23">
        <v>45.0</v>
      </c>
      <c r="J148" s="23">
        <f t="shared" si="3"/>
        <v>45</v>
      </c>
      <c r="K148" s="21" t="s">
        <v>104</v>
      </c>
    </row>
    <row r="149" ht="21.75" customHeight="1">
      <c r="A149" s="20">
        <v>45663.0</v>
      </c>
      <c r="B149" s="21" t="s">
        <v>634</v>
      </c>
      <c r="C149" s="21" t="s">
        <v>176</v>
      </c>
      <c r="D149" s="21" t="s">
        <v>175</v>
      </c>
      <c r="E149" s="21" t="s">
        <v>321</v>
      </c>
      <c r="F149" s="21" t="s">
        <v>652</v>
      </c>
      <c r="G149" s="22">
        <v>12.0</v>
      </c>
      <c r="H149" s="22" t="s">
        <v>177</v>
      </c>
      <c r="I149" s="23">
        <v>24.0</v>
      </c>
      <c r="J149" s="23">
        <f t="shared" si="3"/>
        <v>288</v>
      </c>
      <c r="K149" s="21" t="s">
        <v>104</v>
      </c>
    </row>
    <row r="150" ht="21.75" customHeight="1">
      <c r="A150" s="20">
        <v>45663.0</v>
      </c>
      <c r="B150" s="21" t="s">
        <v>634</v>
      </c>
      <c r="C150" s="21" t="s">
        <v>176</v>
      </c>
      <c r="D150" s="21" t="s">
        <v>175</v>
      </c>
      <c r="E150" s="21" t="s">
        <v>207</v>
      </c>
      <c r="F150" s="21" t="s">
        <v>515</v>
      </c>
      <c r="G150" s="22">
        <v>4.0</v>
      </c>
      <c r="H150" s="22" t="s">
        <v>177</v>
      </c>
      <c r="I150" s="23">
        <v>5.99</v>
      </c>
      <c r="J150" s="23">
        <f t="shared" si="3"/>
        <v>23.96</v>
      </c>
      <c r="K150" s="21" t="s">
        <v>104</v>
      </c>
    </row>
    <row r="151" ht="21.75" customHeight="1">
      <c r="A151" s="20">
        <v>45663.0</v>
      </c>
      <c r="B151" s="21" t="s">
        <v>634</v>
      </c>
      <c r="C151" s="21" t="s">
        <v>176</v>
      </c>
      <c r="D151" s="21" t="s">
        <v>175</v>
      </c>
      <c r="E151" s="21" t="s">
        <v>220</v>
      </c>
      <c r="F151" s="21" t="s">
        <v>513</v>
      </c>
      <c r="G151" s="22">
        <v>2.0</v>
      </c>
      <c r="H151" s="22" t="s">
        <v>177</v>
      </c>
      <c r="I151" s="23">
        <v>275.0</v>
      </c>
      <c r="J151" s="23">
        <f t="shared" si="3"/>
        <v>550</v>
      </c>
      <c r="K151" s="21" t="s">
        <v>104</v>
      </c>
    </row>
    <row r="152" ht="21.75" customHeight="1">
      <c r="A152" s="20">
        <v>45663.0</v>
      </c>
      <c r="B152" s="21" t="s">
        <v>669</v>
      </c>
      <c r="C152" s="21" t="s">
        <v>71</v>
      </c>
      <c r="D152" s="21" t="s">
        <v>42</v>
      </c>
      <c r="E152" s="21" t="s">
        <v>204</v>
      </c>
      <c r="F152" s="21" t="s">
        <v>337</v>
      </c>
      <c r="G152" s="22">
        <v>6.0</v>
      </c>
      <c r="H152" s="22" t="s">
        <v>66</v>
      </c>
      <c r="I152" s="23">
        <v>9.0</v>
      </c>
      <c r="J152" s="23">
        <v>2700.0</v>
      </c>
      <c r="K152" s="21" t="s">
        <v>104</v>
      </c>
    </row>
    <row r="153" ht="21.75" customHeight="1">
      <c r="A153" s="20">
        <v>45663.0</v>
      </c>
      <c r="B153" s="21" t="s">
        <v>669</v>
      </c>
      <c r="C153" s="21" t="s">
        <v>71</v>
      </c>
      <c r="D153" s="21" t="s">
        <v>42</v>
      </c>
      <c r="E153" s="21" t="s">
        <v>258</v>
      </c>
      <c r="F153" s="21" t="s">
        <v>380</v>
      </c>
      <c r="G153" s="22">
        <v>4.0</v>
      </c>
      <c r="H153" s="22" t="s">
        <v>66</v>
      </c>
      <c r="I153" s="23">
        <v>6.39</v>
      </c>
      <c r="J153" s="23">
        <v>1278.0</v>
      </c>
      <c r="K153" s="21" t="s">
        <v>104</v>
      </c>
    </row>
    <row r="154" ht="21.75" customHeight="1">
      <c r="A154" s="20">
        <v>45663.0</v>
      </c>
      <c r="B154" s="21" t="s">
        <v>669</v>
      </c>
      <c r="C154" s="21" t="s">
        <v>71</v>
      </c>
      <c r="D154" s="21" t="s">
        <v>42</v>
      </c>
      <c r="E154" s="21" t="s">
        <v>331</v>
      </c>
      <c r="F154" s="21" t="s">
        <v>332</v>
      </c>
      <c r="G154" s="22">
        <v>1.0</v>
      </c>
      <c r="H154" s="22" t="s">
        <v>66</v>
      </c>
      <c r="I154" s="23">
        <v>9.84</v>
      </c>
      <c r="J154" s="23">
        <v>492.0</v>
      </c>
      <c r="K154" s="21" t="s">
        <v>104</v>
      </c>
    </row>
    <row r="155" ht="21.75" customHeight="1">
      <c r="A155" s="20">
        <v>45663.0</v>
      </c>
      <c r="B155" s="21" t="s">
        <v>669</v>
      </c>
      <c r="C155" s="21" t="s">
        <v>71</v>
      </c>
      <c r="D155" s="21" t="s">
        <v>42</v>
      </c>
      <c r="E155" s="21" t="s">
        <v>279</v>
      </c>
      <c r="F155" s="21" t="s">
        <v>375</v>
      </c>
      <c r="G155" s="22">
        <v>2.0</v>
      </c>
      <c r="H155" s="22" t="s">
        <v>66</v>
      </c>
      <c r="I155" s="23">
        <v>8.68</v>
      </c>
      <c r="J155" s="23">
        <v>868.0</v>
      </c>
      <c r="K155" s="21" t="s">
        <v>104</v>
      </c>
    </row>
    <row r="156" ht="21.75" customHeight="1">
      <c r="A156" s="20">
        <v>45672.0</v>
      </c>
      <c r="B156" s="21" t="s">
        <v>678</v>
      </c>
      <c r="C156" s="21" t="s">
        <v>176</v>
      </c>
      <c r="D156" s="21" t="s">
        <v>175</v>
      </c>
      <c r="E156" s="21" t="s">
        <v>351</v>
      </c>
      <c r="F156" s="21" t="s">
        <v>521</v>
      </c>
      <c r="G156" s="22">
        <v>1.0</v>
      </c>
      <c r="H156" s="22" t="s">
        <v>177</v>
      </c>
      <c r="I156" s="23">
        <v>125.0</v>
      </c>
      <c r="J156" s="23">
        <f t="shared" ref="J156:J159" si="4">G156*I156</f>
        <v>125</v>
      </c>
      <c r="K156" s="21" t="s">
        <v>104</v>
      </c>
    </row>
    <row r="157" ht="21.75" customHeight="1">
      <c r="A157" s="20">
        <v>45672.0</v>
      </c>
      <c r="B157" s="21" t="s">
        <v>678</v>
      </c>
      <c r="C157" s="21" t="s">
        <v>176</v>
      </c>
      <c r="D157" s="21" t="s">
        <v>175</v>
      </c>
      <c r="E157" s="21" t="s">
        <v>680</v>
      </c>
      <c r="F157" s="21" t="s">
        <v>681</v>
      </c>
      <c r="G157" s="22">
        <v>1.0</v>
      </c>
      <c r="H157" s="22" t="s">
        <v>177</v>
      </c>
      <c r="I157" s="23">
        <v>125.0</v>
      </c>
      <c r="J157" s="23">
        <f t="shared" si="4"/>
        <v>125</v>
      </c>
      <c r="K157" s="21" t="s">
        <v>104</v>
      </c>
    </row>
    <row r="158" ht="21.75" customHeight="1">
      <c r="A158" s="20">
        <v>45672.0</v>
      </c>
      <c r="B158" s="21" t="s">
        <v>678</v>
      </c>
      <c r="C158" s="21" t="s">
        <v>176</v>
      </c>
      <c r="D158" s="21" t="s">
        <v>175</v>
      </c>
      <c r="E158" s="21" t="s">
        <v>174</v>
      </c>
      <c r="F158" s="21" t="s">
        <v>686</v>
      </c>
      <c r="G158" s="22">
        <v>1.0</v>
      </c>
      <c r="H158" s="22" t="s">
        <v>177</v>
      </c>
      <c r="I158" s="23">
        <v>5.99</v>
      </c>
      <c r="J158" s="23">
        <f t="shared" si="4"/>
        <v>5.99</v>
      </c>
      <c r="K158" s="21" t="s">
        <v>104</v>
      </c>
    </row>
    <row r="159" ht="21.75" customHeight="1">
      <c r="A159" s="20">
        <v>45672.0</v>
      </c>
      <c r="B159" s="21" t="s">
        <v>678</v>
      </c>
      <c r="C159" s="21" t="s">
        <v>176</v>
      </c>
      <c r="D159" s="21" t="s">
        <v>175</v>
      </c>
      <c r="E159" s="21" t="s">
        <v>281</v>
      </c>
      <c r="F159" s="21" t="s">
        <v>558</v>
      </c>
      <c r="G159" s="22">
        <v>1.0</v>
      </c>
      <c r="H159" s="22" t="s">
        <v>177</v>
      </c>
      <c r="I159" s="23">
        <v>12.99</v>
      </c>
      <c r="J159" s="23">
        <f t="shared" si="4"/>
        <v>12.99</v>
      </c>
      <c r="K159" s="21" t="s">
        <v>104</v>
      </c>
    </row>
    <row r="160" ht="21.75" customHeight="1">
      <c r="A160" s="20">
        <v>45676.0</v>
      </c>
      <c r="B160" s="21" t="s">
        <v>691</v>
      </c>
      <c r="C160" s="21" t="s">
        <v>240</v>
      </c>
      <c r="D160" s="21"/>
      <c r="E160" s="21" t="s">
        <v>587</v>
      </c>
      <c r="F160" s="21" t="s">
        <v>692</v>
      </c>
      <c r="G160" s="22">
        <v>1.0</v>
      </c>
      <c r="H160" s="22" t="s">
        <v>588</v>
      </c>
      <c r="I160" s="23">
        <v>35.0</v>
      </c>
      <c r="J160" s="23">
        <v>35.0</v>
      </c>
      <c r="K160" s="21" t="s">
        <v>104</v>
      </c>
    </row>
    <row r="161" ht="21.75" customHeight="1">
      <c r="A161" s="20">
        <v>45676.0</v>
      </c>
      <c r="B161" s="21" t="s">
        <v>691</v>
      </c>
      <c r="C161" s="21" t="s">
        <v>240</v>
      </c>
      <c r="D161" s="21"/>
      <c r="E161" s="21" t="s">
        <v>698</v>
      </c>
      <c r="F161" s="21"/>
      <c r="G161" s="22">
        <v>1.0</v>
      </c>
      <c r="H161" s="22" t="s">
        <v>700</v>
      </c>
      <c r="I161" s="23">
        <v>50.0</v>
      </c>
      <c r="J161" s="23">
        <v>50.0</v>
      </c>
      <c r="K161" s="21" t="s">
        <v>104</v>
      </c>
    </row>
    <row r="162" ht="21.75" customHeight="1">
      <c r="A162" s="20">
        <v>45676.0</v>
      </c>
      <c r="B162" s="21" t="s">
        <v>691</v>
      </c>
      <c r="C162" s="21" t="s">
        <v>240</v>
      </c>
      <c r="D162" s="21"/>
      <c r="E162" s="21" t="s">
        <v>579</v>
      </c>
      <c r="F162" s="21"/>
      <c r="G162" s="22">
        <v>1.0</v>
      </c>
      <c r="H162" s="22" t="s">
        <v>581</v>
      </c>
      <c r="I162" s="23">
        <v>60.0</v>
      </c>
      <c r="J162" s="23">
        <v>60.0</v>
      </c>
      <c r="K162" s="21" t="s">
        <v>104</v>
      </c>
    </row>
    <row r="163" ht="21.75" customHeight="1">
      <c r="A163" s="20">
        <v>45676.0</v>
      </c>
      <c r="B163" s="21" t="s">
        <v>691</v>
      </c>
      <c r="C163" s="21" t="s">
        <v>240</v>
      </c>
      <c r="D163" s="21"/>
      <c r="E163" s="21" t="s">
        <v>325</v>
      </c>
      <c r="F163" s="21" t="s">
        <v>706</v>
      </c>
      <c r="G163" s="22">
        <v>25.0</v>
      </c>
      <c r="H163" s="22" t="s">
        <v>177</v>
      </c>
      <c r="I163" s="23">
        <v>16.0</v>
      </c>
      <c r="J163" s="23">
        <v>400.0</v>
      </c>
      <c r="K163" s="21" t="s">
        <v>104</v>
      </c>
    </row>
    <row r="164" ht="21.75" customHeight="1">
      <c r="A164" s="20">
        <v>45676.0</v>
      </c>
      <c r="B164" s="21" t="s">
        <v>691</v>
      </c>
      <c r="C164" s="21" t="s">
        <v>240</v>
      </c>
      <c r="D164" s="21"/>
      <c r="E164" s="21" t="s">
        <v>708</v>
      </c>
      <c r="F164" s="21"/>
      <c r="G164" s="22">
        <v>1.0</v>
      </c>
      <c r="H164" s="22" t="s">
        <v>581</v>
      </c>
      <c r="I164" s="23">
        <v>75.0</v>
      </c>
      <c r="J164" s="23">
        <v>75.0</v>
      </c>
      <c r="K164" s="21" t="s">
        <v>104</v>
      </c>
    </row>
    <row r="165" ht="21.75" customHeight="1">
      <c r="A165" s="20">
        <v>45676.0</v>
      </c>
      <c r="B165" s="21" t="s">
        <v>691</v>
      </c>
      <c r="C165" s="21" t="s">
        <v>240</v>
      </c>
      <c r="D165" s="21"/>
      <c r="E165" s="21" t="s">
        <v>241</v>
      </c>
      <c r="F165" s="21" t="s">
        <v>712</v>
      </c>
      <c r="G165" s="22">
        <v>50.0</v>
      </c>
      <c r="H165" s="22" t="s">
        <v>177</v>
      </c>
      <c r="I165" s="23">
        <v>9.0</v>
      </c>
      <c r="J165" s="23">
        <v>450.0</v>
      </c>
      <c r="K165" s="21" t="s">
        <v>104</v>
      </c>
    </row>
    <row r="166" ht="21.75" customHeight="1">
      <c r="A166" s="20">
        <v>45681.0</v>
      </c>
      <c r="B166" s="21" t="s">
        <v>715</v>
      </c>
      <c r="C166" s="21" t="s">
        <v>240</v>
      </c>
      <c r="D166" s="21"/>
      <c r="E166" s="21" t="s">
        <v>716</v>
      </c>
      <c r="F166" s="21"/>
      <c r="G166" s="22">
        <v>1.0</v>
      </c>
      <c r="H166" s="22" t="s">
        <v>700</v>
      </c>
      <c r="I166" s="23">
        <v>50.0</v>
      </c>
      <c r="J166" s="23">
        <v>50.0</v>
      </c>
      <c r="K166" s="21" t="s">
        <v>104</v>
      </c>
    </row>
    <row r="167" ht="21.75" customHeight="1">
      <c r="A167" s="20">
        <v>45681.0</v>
      </c>
      <c r="B167" s="21" t="s">
        <v>715</v>
      </c>
      <c r="C167" s="21" t="s">
        <v>240</v>
      </c>
      <c r="D167" s="21"/>
      <c r="E167" s="21" t="s">
        <v>355</v>
      </c>
      <c r="F167" s="21"/>
      <c r="G167" s="22">
        <v>2.0</v>
      </c>
      <c r="H167" s="22" t="s">
        <v>575</v>
      </c>
      <c r="I167" s="23">
        <v>100.0</v>
      </c>
      <c r="J167" s="23">
        <v>200.0</v>
      </c>
      <c r="K167" s="21" t="s">
        <v>104</v>
      </c>
    </row>
    <row r="168" ht="21.75" customHeight="1">
      <c r="A168" s="20">
        <v>45685.0</v>
      </c>
      <c r="B168" s="21" t="s">
        <v>718</v>
      </c>
      <c r="C168" s="21" t="s">
        <v>71</v>
      </c>
      <c r="D168" s="21" t="s">
        <v>42</v>
      </c>
      <c r="E168" s="21" t="s">
        <v>343</v>
      </c>
      <c r="F168" s="21" t="s">
        <v>395</v>
      </c>
      <c r="G168" s="22">
        <v>2.0</v>
      </c>
      <c r="H168" s="22" t="s">
        <v>66</v>
      </c>
      <c r="I168" s="23">
        <v>8.23</v>
      </c>
      <c r="J168" s="23">
        <v>823.0</v>
      </c>
      <c r="K168" s="21" t="s">
        <v>104</v>
      </c>
    </row>
    <row r="169" ht="21.75" customHeight="1">
      <c r="A169" s="20">
        <v>45685.0</v>
      </c>
      <c r="B169" s="21" t="s">
        <v>718</v>
      </c>
      <c r="C169" s="21" t="s">
        <v>71</v>
      </c>
      <c r="D169" s="21" t="s">
        <v>42</v>
      </c>
      <c r="E169" s="21" t="s">
        <v>75</v>
      </c>
      <c r="F169" s="21" t="s">
        <v>76</v>
      </c>
      <c r="G169" s="22">
        <v>1.0</v>
      </c>
      <c r="H169" s="22" t="s">
        <v>66</v>
      </c>
      <c r="I169" s="23">
        <v>6.92</v>
      </c>
      <c r="J169" s="23">
        <v>346.0</v>
      </c>
      <c r="K169" s="21" t="s">
        <v>104</v>
      </c>
    </row>
    <row r="170" ht="21.75" customHeight="1">
      <c r="A170" s="20">
        <v>45685.0</v>
      </c>
      <c r="B170" s="21" t="s">
        <v>718</v>
      </c>
      <c r="C170" s="21" t="s">
        <v>71</v>
      </c>
      <c r="D170" s="21" t="s">
        <v>42</v>
      </c>
      <c r="E170" s="21" t="s">
        <v>507</v>
      </c>
      <c r="F170" s="21" t="s">
        <v>719</v>
      </c>
      <c r="G170" s="22">
        <v>1.0</v>
      </c>
      <c r="H170" s="22" t="s">
        <v>66</v>
      </c>
      <c r="I170" s="23">
        <v>7.92</v>
      </c>
      <c r="J170" s="23">
        <v>396.0</v>
      </c>
      <c r="K170" s="21" t="s">
        <v>104</v>
      </c>
    </row>
    <row r="171" ht="21.75" customHeight="1">
      <c r="A171" s="20">
        <v>45692.0</v>
      </c>
      <c r="B171" s="21" t="s">
        <v>720</v>
      </c>
      <c r="C171" s="21" t="s">
        <v>240</v>
      </c>
      <c r="D171" s="21"/>
      <c r="E171" s="21" t="s">
        <v>285</v>
      </c>
      <c r="F171" s="21"/>
      <c r="G171" s="22">
        <v>2.0</v>
      </c>
      <c r="H171" s="22" t="s">
        <v>559</v>
      </c>
      <c r="I171" s="23">
        <v>40.0</v>
      </c>
      <c r="J171" s="23">
        <v>80.0</v>
      </c>
      <c r="K171" s="21" t="s">
        <v>104</v>
      </c>
    </row>
    <row r="172" ht="21.75" customHeight="1">
      <c r="A172" s="20">
        <v>45699.0</v>
      </c>
      <c r="B172" s="21" t="s">
        <v>722</v>
      </c>
      <c r="C172" s="21" t="s">
        <v>41</v>
      </c>
      <c r="D172" s="21" t="s">
        <v>42</v>
      </c>
      <c r="E172" s="21" t="s">
        <v>642</v>
      </c>
      <c r="F172" s="21" t="s">
        <v>723</v>
      </c>
      <c r="G172" s="22">
        <v>140.0</v>
      </c>
      <c r="H172" s="22" t="s">
        <v>49</v>
      </c>
      <c r="I172" s="23">
        <v>1.78</v>
      </c>
      <c r="J172" s="23">
        <v>249.2</v>
      </c>
      <c r="K172" s="21" t="s">
        <v>104</v>
      </c>
    </row>
    <row r="173" ht="21.75" customHeight="1">
      <c r="A173" s="20">
        <v>45699.0</v>
      </c>
      <c r="B173" s="21" t="s">
        <v>722</v>
      </c>
      <c r="C173" s="21" t="s">
        <v>41</v>
      </c>
      <c r="D173" s="21" t="s">
        <v>42</v>
      </c>
      <c r="E173" s="21" t="s">
        <v>724</v>
      </c>
      <c r="F173" s="21" t="s">
        <v>725</v>
      </c>
      <c r="G173" s="22">
        <v>40.0</v>
      </c>
      <c r="H173" s="22" t="s">
        <v>49</v>
      </c>
      <c r="I173" s="23">
        <v>1.3</v>
      </c>
      <c r="J173" s="23">
        <v>52.0</v>
      </c>
      <c r="K173" s="21" t="s">
        <v>104</v>
      </c>
    </row>
    <row r="174" ht="21.75" customHeight="1">
      <c r="A174" s="20">
        <v>45699.0</v>
      </c>
      <c r="B174" s="21" t="s">
        <v>722</v>
      </c>
      <c r="C174" s="21" t="s">
        <v>41</v>
      </c>
      <c r="D174" s="21" t="s">
        <v>42</v>
      </c>
      <c r="E174" s="21" t="s">
        <v>726</v>
      </c>
      <c r="F174" s="21" t="s">
        <v>727</v>
      </c>
      <c r="G174" s="22">
        <v>40.0</v>
      </c>
      <c r="H174" s="22" t="s">
        <v>49</v>
      </c>
      <c r="I174" s="23">
        <v>1.15</v>
      </c>
      <c r="J174" s="23">
        <v>46.0</v>
      </c>
      <c r="K174" s="21" t="s">
        <v>104</v>
      </c>
    </row>
    <row r="175" ht="21.75" customHeight="1">
      <c r="A175" s="20">
        <v>45699.0</v>
      </c>
      <c r="B175" s="21" t="s">
        <v>722</v>
      </c>
      <c r="C175" s="21" t="s">
        <v>41</v>
      </c>
      <c r="D175" s="21" t="s">
        <v>42</v>
      </c>
      <c r="E175" s="21" t="s">
        <v>728</v>
      </c>
      <c r="F175" s="21" t="s">
        <v>729</v>
      </c>
      <c r="G175" s="22">
        <v>20.0</v>
      </c>
      <c r="H175" s="22" t="s">
        <v>49</v>
      </c>
      <c r="I175" s="23">
        <v>1.4</v>
      </c>
      <c r="J175" s="23">
        <v>28.0</v>
      </c>
      <c r="K175" s="21" t="s">
        <v>104</v>
      </c>
    </row>
    <row r="176" ht="21.75" customHeight="1">
      <c r="A176" s="20">
        <v>45699.0</v>
      </c>
      <c r="B176" s="21" t="s">
        <v>722</v>
      </c>
      <c r="C176" s="21" t="s">
        <v>41</v>
      </c>
      <c r="D176" s="21" t="s">
        <v>42</v>
      </c>
      <c r="E176" s="21" t="s">
        <v>731</v>
      </c>
      <c r="F176" s="21" t="s">
        <v>732</v>
      </c>
      <c r="G176" s="22">
        <v>3.34</v>
      </c>
      <c r="H176" s="22" t="s">
        <v>66</v>
      </c>
      <c r="I176" s="24">
        <v>2.3503</v>
      </c>
      <c r="J176" s="23">
        <v>7.85</v>
      </c>
      <c r="K176" s="21" t="s">
        <v>104</v>
      </c>
    </row>
    <row r="177" ht="21.75" customHeight="1">
      <c r="A177" s="20">
        <v>45699.0</v>
      </c>
      <c r="B177" s="21" t="s">
        <v>722</v>
      </c>
      <c r="C177" s="21" t="s">
        <v>41</v>
      </c>
      <c r="D177" s="21" t="s">
        <v>42</v>
      </c>
      <c r="E177" s="21" t="s">
        <v>734</v>
      </c>
      <c r="F177" s="21" t="s">
        <v>735</v>
      </c>
      <c r="G177" s="22">
        <v>1.88</v>
      </c>
      <c r="H177" s="22" t="s">
        <v>66</v>
      </c>
      <c r="I177" s="24">
        <v>3.0213</v>
      </c>
      <c r="J177" s="23">
        <v>5.68</v>
      </c>
      <c r="K177" s="21" t="s">
        <v>104</v>
      </c>
    </row>
    <row r="178" ht="21.75" customHeight="1">
      <c r="A178" s="20">
        <v>45699.0</v>
      </c>
      <c r="B178" s="21" t="s">
        <v>722</v>
      </c>
      <c r="C178" s="21" t="s">
        <v>41</v>
      </c>
      <c r="D178" s="21" t="s">
        <v>42</v>
      </c>
      <c r="E178" s="21" t="s">
        <v>736</v>
      </c>
      <c r="F178" s="21" t="s">
        <v>737</v>
      </c>
      <c r="G178" s="22">
        <v>15.7253</v>
      </c>
      <c r="H178" s="22" t="s">
        <v>66</v>
      </c>
      <c r="I178" s="24">
        <v>2.1399</v>
      </c>
      <c r="J178" s="23">
        <v>33.65</v>
      </c>
      <c r="K178" s="21" t="s">
        <v>104</v>
      </c>
    </row>
    <row r="179" ht="21.75" customHeight="1">
      <c r="A179" s="20">
        <v>45701.0</v>
      </c>
      <c r="B179" s="21" t="s">
        <v>738</v>
      </c>
      <c r="C179" s="21" t="s">
        <v>41</v>
      </c>
      <c r="D179" s="21" t="s">
        <v>42</v>
      </c>
      <c r="E179" s="21" t="s">
        <v>402</v>
      </c>
      <c r="F179" s="21" t="s">
        <v>619</v>
      </c>
      <c r="G179" s="22">
        <v>200.0</v>
      </c>
      <c r="H179" s="22" t="s">
        <v>49</v>
      </c>
      <c r="I179" s="23">
        <v>1.03</v>
      </c>
      <c r="J179" s="23">
        <v>206.0</v>
      </c>
      <c r="K179" s="21" t="s">
        <v>104</v>
      </c>
    </row>
    <row r="180" ht="21.75" customHeight="1">
      <c r="A180" s="20">
        <v>45701.0</v>
      </c>
      <c r="B180" s="21" t="s">
        <v>738</v>
      </c>
      <c r="C180" s="21" t="s">
        <v>41</v>
      </c>
      <c r="D180" s="21" t="s">
        <v>42</v>
      </c>
      <c r="E180" s="21" t="s">
        <v>679</v>
      </c>
      <c r="F180" s="21" t="s">
        <v>740</v>
      </c>
      <c r="G180" s="22">
        <v>100.0</v>
      </c>
      <c r="H180" s="22" t="s">
        <v>49</v>
      </c>
      <c r="I180" s="23">
        <v>1.36</v>
      </c>
      <c r="J180" s="23">
        <v>136.0</v>
      </c>
      <c r="K180" s="21" t="s">
        <v>104</v>
      </c>
    </row>
    <row r="181" ht="21.75" customHeight="1">
      <c r="A181" s="20">
        <v>45701.0</v>
      </c>
      <c r="B181" s="21" t="s">
        <v>738</v>
      </c>
      <c r="C181" s="21" t="s">
        <v>41</v>
      </c>
      <c r="D181" s="21" t="s">
        <v>42</v>
      </c>
      <c r="E181" s="21" t="s">
        <v>638</v>
      </c>
      <c r="F181" s="21" t="s">
        <v>741</v>
      </c>
      <c r="G181" s="22">
        <v>80.0</v>
      </c>
      <c r="H181" s="22" t="s">
        <v>49</v>
      </c>
      <c r="I181" s="23">
        <v>3.29</v>
      </c>
      <c r="J181" s="23">
        <v>263.2</v>
      </c>
      <c r="K181" s="21" t="s">
        <v>104</v>
      </c>
    </row>
    <row r="182" ht="21.75" customHeight="1">
      <c r="A182" s="20">
        <v>45701.0</v>
      </c>
      <c r="B182" s="21" t="s">
        <v>738</v>
      </c>
      <c r="C182" s="21" t="s">
        <v>41</v>
      </c>
      <c r="D182" s="21" t="s">
        <v>42</v>
      </c>
      <c r="E182" s="21" t="s">
        <v>633</v>
      </c>
      <c r="F182" s="21" t="s">
        <v>742</v>
      </c>
      <c r="G182" s="22">
        <v>250.0</v>
      </c>
      <c r="H182" s="22" t="s">
        <v>66</v>
      </c>
      <c r="I182" s="23">
        <v>1.14</v>
      </c>
      <c r="J182" s="23">
        <v>285.0</v>
      </c>
      <c r="K182" s="21" t="s">
        <v>104</v>
      </c>
    </row>
    <row r="183" ht="21.75" customHeight="1">
      <c r="A183" s="20">
        <v>45701.0</v>
      </c>
      <c r="B183" s="21" t="s">
        <v>738</v>
      </c>
      <c r="C183" s="21" t="s">
        <v>41</v>
      </c>
      <c r="D183" s="21" t="s">
        <v>42</v>
      </c>
      <c r="E183" s="21" t="s">
        <v>743</v>
      </c>
      <c r="F183" s="21" t="s">
        <v>744</v>
      </c>
      <c r="G183" s="22">
        <v>40.0</v>
      </c>
      <c r="H183" s="22" t="s">
        <v>49</v>
      </c>
      <c r="I183" s="23">
        <v>2.16</v>
      </c>
      <c r="J183" s="23">
        <v>86.4</v>
      </c>
      <c r="K183" s="21" t="s">
        <v>104</v>
      </c>
    </row>
    <row r="184" ht="21.75" customHeight="1">
      <c r="A184" s="20">
        <v>45701.0</v>
      </c>
      <c r="B184" s="21" t="s">
        <v>738</v>
      </c>
      <c r="C184" s="21" t="s">
        <v>41</v>
      </c>
      <c r="D184" s="21" t="s">
        <v>42</v>
      </c>
      <c r="E184" s="21" t="s">
        <v>745</v>
      </c>
      <c r="F184" s="21" t="s">
        <v>746</v>
      </c>
      <c r="G184" s="22">
        <v>2.0</v>
      </c>
      <c r="H184" s="22" t="s">
        <v>73</v>
      </c>
      <c r="I184" s="23">
        <v>17.46</v>
      </c>
      <c r="J184" s="23">
        <v>34.92</v>
      </c>
      <c r="K184" s="21" t="s">
        <v>104</v>
      </c>
    </row>
    <row r="185" ht="21.75" customHeight="1">
      <c r="A185" s="20">
        <v>45701.0</v>
      </c>
      <c r="B185" s="21" t="s">
        <v>738</v>
      </c>
      <c r="C185" s="21" t="s">
        <v>41</v>
      </c>
      <c r="D185" s="21" t="s">
        <v>42</v>
      </c>
      <c r="E185" s="21" t="s">
        <v>747</v>
      </c>
      <c r="F185" s="21" t="s">
        <v>748</v>
      </c>
      <c r="G185" s="22">
        <v>5.64</v>
      </c>
      <c r="H185" s="22" t="s">
        <v>66</v>
      </c>
      <c r="I185" s="24">
        <v>4.0833</v>
      </c>
      <c r="J185" s="23">
        <v>23.03</v>
      </c>
      <c r="K185" s="21" t="s">
        <v>104</v>
      </c>
    </row>
    <row r="186" ht="21.75" customHeight="1">
      <c r="A186" s="20">
        <v>45705.0</v>
      </c>
      <c r="B186" s="21" t="s">
        <v>749</v>
      </c>
      <c r="C186" s="21" t="s">
        <v>307</v>
      </c>
      <c r="D186" s="21" t="s">
        <v>42</v>
      </c>
      <c r="E186" s="21" t="s">
        <v>309</v>
      </c>
      <c r="F186" s="21" t="s">
        <v>596</v>
      </c>
      <c r="G186" s="22">
        <v>2000.0</v>
      </c>
      <c r="H186" s="22" t="s">
        <v>73</v>
      </c>
      <c r="I186" s="24">
        <v>0.154</v>
      </c>
      <c r="J186" s="23">
        <v>308.0</v>
      </c>
      <c r="K186" s="21" t="s">
        <v>104</v>
      </c>
    </row>
    <row r="187" ht="21.75" customHeight="1">
      <c r="A187" s="20">
        <v>45705.0</v>
      </c>
      <c r="B187" s="21" t="s">
        <v>750</v>
      </c>
      <c r="C187" s="21" t="s">
        <v>307</v>
      </c>
      <c r="D187" s="21" t="s">
        <v>42</v>
      </c>
      <c r="E187" s="21" t="s">
        <v>317</v>
      </c>
      <c r="F187" s="21" t="s">
        <v>602</v>
      </c>
      <c r="G187" s="22">
        <v>1.0</v>
      </c>
      <c r="H187" s="22" t="s">
        <v>73</v>
      </c>
      <c r="I187" s="23">
        <v>98.0</v>
      </c>
      <c r="J187" s="23">
        <v>98.0</v>
      </c>
      <c r="K187" s="21" t="s">
        <v>104</v>
      </c>
    </row>
    <row r="188" ht="21.75" customHeight="1">
      <c r="A188" s="20">
        <v>45708.0</v>
      </c>
      <c r="B188" s="21" t="s">
        <v>752</v>
      </c>
      <c r="C188" s="21" t="s">
        <v>240</v>
      </c>
      <c r="D188" s="21"/>
      <c r="E188" s="21" t="s">
        <v>355</v>
      </c>
      <c r="F188" s="21"/>
      <c r="G188" s="22">
        <v>2.0</v>
      </c>
      <c r="H188" s="22" t="s">
        <v>575</v>
      </c>
      <c r="I188" s="23">
        <v>100.0</v>
      </c>
      <c r="J188" s="23">
        <v>200.0</v>
      </c>
      <c r="K188" s="21" t="s">
        <v>104</v>
      </c>
    </row>
    <row r="189" ht="21.75" customHeight="1">
      <c r="A189" s="20">
        <v>45708.0</v>
      </c>
      <c r="B189" s="21" t="s">
        <v>752</v>
      </c>
      <c r="C189" s="21" t="s">
        <v>240</v>
      </c>
      <c r="D189" s="21"/>
      <c r="E189" s="21" t="s">
        <v>285</v>
      </c>
      <c r="F189" s="21"/>
      <c r="G189" s="22">
        <v>2.0</v>
      </c>
      <c r="H189" s="22" t="s">
        <v>559</v>
      </c>
      <c r="I189" s="23">
        <v>40.0</v>
      </c>
      <c r="J189" s="23">
        <v>80.0</v>
      </c>
      <c r="K189" s="21" t="s">
        <v>104</v>
      </c>
    </row>
    <row r="190" ht="21.75" customHeight="1">
      <c r="A190" s="20">
        <v>45708.0</v>
      </c>
      <c r="B190" s="21" t="s">
        <v>752</v>
      </c>
      <c r="C190" s="21" t="s">
        <v>240</v>
      </c>
      <c r="D190" s="21"/>
      <c r="E190" s="21" t="s">
        <v>579</v>
      </c>
      <c r="F190" s="21"/>
      <c r="G190" s="22">
        <v>1.0</v>
      </c>
      <c r="H190" s="22" t="s">
        <v>581</v>
      </c>
      <c r="I190" s="23">
        <v>60.0</v>
      </c>
      <c r="J190" s="23">
        <v>60.0</v>
      </c>
      <c r="K190" s="21" t="s">
        <v>104</v>
      </c>
    </row>
    <row r="191" ht="21.75" customHeight="1">
      <c r="A191" s="20">
        <v>45719.0</v>
      </c>
      <c r="B191" s="21" t="s">
        <v>753</v>
      </c>
      <c r="C191" s="21" t="s">
        <v>41</v>
      </c>
      <c r="D191" s="21" t="s">
        <v>42</v>
      </c>
      <c r="E191" s="21" t="s">
        <v>666</v>
      </c>
      <c r="F191" s="21" t="s">
        <v>754</v>
      </c>
      <c r="G191" s="22">
        <v>3.0</v>
      </c>
      <c r="H191" s="22" t="s">
        <v>73</v>
      </c>
      <c r="I191" s="23">
        <v>51.58</v>
      </c>
      <c r="J191" s="23">
        <v>154.74</v>
      </c>
      <c r="K191" s="21" t="s">
        <v>104</v>
      </c>
    </row>
    <row r="192" ht="21.75" customHeight="1">
      <c r="A192" s="20">
        <v>45720.0</v>
      </c>
      <c r="B192" s="21" t="s">
        <v>755</v>
      </c>
      <c r="C192" s="21" t="s">
        <v>240</v>
      </c>
      <c r="D192" s="21"/>
      <c r="E192" s="21" t="s">
        <v>756</v>
      </c>
      <c r="F192" s="21"/>
      <c r="G192" s="22">
        <v>1.0</v>
      </c>
      <c r="H192" s="22" t="s">
        <v>758</v>
      </c>
      <c r="I192" s="23">
        <v>35.0</v>
      </c>
      <c r="J192" s="23">
        <v>35.0</v>
      </c>
      <c r="K192" s="21" t="s">
        <v>104</v>
      </c>
    </row>
    <row r="193" ht="21.75" customHeight="1">
      <c r="A193" s="20">
        <v>45729.0</v>
      </c>
      <c r="B193" s="21" t="s">
        <v>759</v>
      </c>
      <c r="C193" s="21" t="s">
        <v>240</v>
      </c>
      <c r="D193" s="21"/>
      <c r="E193" s="21" t="s">
        <v>241</v>
      </c>
      <c r="F193" s="21" t="s">
        <v>712</v>
      </c>
      <c r="G193" s="22">
        <v>40.0</v>
      </c>
      <c r="H193" s="22" t="s">
        <v>177</v>
      </c>
      <c r="I193" s="23">
        <v>5.0</v>
      </c>
      <c r="J193" s="23">
        <v>200.0</v>
      </c>
      <c r="K193" s="21" t="s">
        <v>104</v>
      </c>
    </row>
    <row r="194" ht="21.75" customHeight="1">
      <c r="A194" s="20">
        <v>45729.0</v>
      </c>
      <c r="B194" s="21" t="s">
        <v>759</v>
      </c>
      <c r="C194" s="21" t="s">
        <v>240</v>
      </c>
      <c r="D194" s="21"/>
      <c r="E194" s="21" t="s">
        <v>325</v>
      </c>
      <c r="F194" s="21" t="s">
        <v>706</v>
      </c>
      <c r="G194" s="22">
        <v>30.0</v>
      </c>
      <c r="H194" s="22" t="s">
        <v>177</v>
      </c>
      <c r="I194" s="23">
        <v>9.0</v>
      </c>
      <c r="J194" s="23">
        <v>270.0</v>
      </c>
      <c r="K194" s="21" t="s">
        <v>104</v>
      </c>
    </row>
    <row r="195" ht="21.75" customHeight="1">
      <c r="A195" s="20">
        <v>45729.0</v>
      </c>
      <c r="B195" s="21" t="s">
        <v>759</v>
      </c>
      <c r="C195" s="21" t="s">
        <v>240</v>
      </c>
      <c r="D195" s="21"/>
      <c r="E195" s="21" t="s">
        <v>360</v>
      </c>
      <c r="F195" s="21" t="s">
        <v>760</v>
      </c>
      <c r="G195" s="22">
        <v>30.0</v>
      </c>
      <c r="H195" s="22" t="s">
        <v>177</v>
      </c>
      <c r="I195" s="23">
        <v>4.0</v>
      </c>
      <c r="J195" s="23">
        <v>120.0</v>
      </c>
      <c r="K195" s="21" t="s">
        <v>104</v>
      </c>
    </row>
    <row r="196" ht="21.75" customHeight="1">
      <c r="A196" s="20">
        <v>45740.0</v>
      </c>
      <c r="B196" s="21" t="s">
        <v>761</v>
      </c>
      <c r="C196" s="21" t="s">
        <v>366</v>
      </c>
      <c r="D196" s="21" t="s">
        <v>42</v>
      </c>
      <c r="E196" s="21" t="s">
        <v>648</v>
      </c>
      <c r="F196" s="21" t="s">
        <v>763</v>
      </c>
      <c r="G196" s="22">
        <v>7.0</v>
      </c>
      <c r="H196" s="22" t="s">
        <v>764</v>
      </c>
      <c r="I196" s="23">
        <v>60.5</v>
      </c>
      <c r="J196" s="23">
        <v>423.5</v>
      </c>
      <c r="K196" s="21" t="s">
        <v>104</v>
      </c>
    </row>
    <row r="197" ht="21.75" customHeight="1">
      <c r="A197" s="20">
        <v>45740.0</v>
      </c>
      <c r="B197" s="21" t="s">
        <v>761</v>
      </c>
      <c r="C197" s="21" t="s">
        <v>366</v>
      </c>
      <c r="D197" s="21" t="s">
        <v>42</v>
      </c>
      <c r="E197" s="21" t="s">
        <v>765</v>
      </c>
      <c r="F197" s="21" t="s">
        <v>766</v>
      </c>
      <c r="G197" s="22">
        <v>1.0</v>
      </c>
      <c r="H197" s="22" t="s">
        <v>73</v>
      </c>
      <c r="I197" s="23">
        <v>9.0</v>
      </c>
      <c r="J197" s="23">
        <v>9.0</v>
      </c>
      <c r="K197" s="21" t="s">
        <v>104</v>
      </c>
    </row>
    <row r="198" ht="21.75" customHeight="1">
      <c r="A198" s="20">
        <v>45740.0</v>
      </c>
      <c r="B198" s="21" t="s">
        <v>761</v>
      </c>
      <c r="C198" s="21" t="s">
        <v>366</v>
      </c>
      <c r="D198" s="21" t="s">
        <v>42</v>
      </c>
      <c r="E198" s="21" t="s">
        <v>767</v>
      </c>
      <c r="F198" s="21" t="s">
        <v>768</v>
      </c>
      <c r="G198" s="22">
        <v>1.0</v>
      </c>
      <c r="H198" s="22" t="s">
        <v>73</v>
      </c>
      <c r="I198" s="23">
        <v>13.65</v>
      </c>
      <c r="J198" s="23">
        <v>13.65</v>
      </c>
      <c r="K198" s="21" t="s">
        <v>104</v>
      </c>
    </row>
    <row r="199" ht="21.75" customHeight="1">
      <c r="A199" s="20">
        <v>45740.0</v>
      </c>
      <c r="B199" s="21" t="s">
        <v>761</v>
      </c>
      <c r="C199" s="21" t="s">
        <v>366</v>
      </c>
      <c r="D199" s="21" t="s">
        <v>42</v>
      </c>
      <c r="E199" s="21" t="s">
        <v>367</v>
      </c>
      <c r="F199" s="21" t="s">
        <v>83</v>
      </c>
      <c r="G199" s="22">
        <v>1.0</v>
      </c>
      <c r="H199" s="22" t="s">
        <v>73</v>
      </c>
      <c r="I199" s="23">
        <v>25.0</v>
      </c>
      <c r="J199" s="23">
        <v>25.0</v>
      </c>
      <c r="K199" s="21" t="s">
        <v>104</v>
      </c>
    </row>
    <row r="200" ht="21.75" customHeight="1">
      <c r="A200" s="20">
        <v>45743.0</v>
      </c>
      <c r="B200" s="21" t="s">
        <v>769</v>
      </c>
      <c r="C200" s="21" t="s">
        <v>366</v>
      </c>
      <c r="D200" s="21" t="s">
        <v>42</v>
      </c>
      <c r="E200" s="21" t="s">
        <v>573</v>
      </c>
      <c r="F200" s="21" t="s">
        <v>770</v>
      </c>
      <c r="G200" s="22">
        <v>6.0</v>
      </c>
      <c r="H200" s="22" t="s">
        <v>73</v>
      </c>
      <c r="I200" s="23">
        <v>161.6</v>
      </c>
      <c r="J200" s="23">
        <v>969.6</v>
      </c>
      <c r="K200" s="21" t="s">
        <v>104</v>
      </c>
    </row>
    <row r="201" ht="21.75" customHeight="1">
      <c r="A201" s="20">
        <v>45747.0</v>
      </c>
      <c r="B201" s="21" t="s">
        <v>771</v>
      </c>
      <c r="C201" s="21" t="s">
        <v>366</v>
      </c>
      <c r="D201" s="21" t="s">
        <v>42</v>
      </c>
      <c r="E201" s="21" t="s">
        <v>772</v>
      </c>
      <c r="F201" s="21" t="s">
        <v>773</v>
      </c>
      <c r="G201" s="22">
        <v>3.0</v>
      </c>
      <c r="H201" s="22" t="s">
        <v>764</v>
      </c>
      <c r="I201" s="23">
        <v>9.24</v>
      </c>
      <c r="J201" s="23">
        <v>27.72</v>
      </c>
      <c r="K201" s="21" t="s">
        <v>104</v>
      </c>
    </row>
    <row r="202" ht="21.75" customHeight="1">
      <c r="A202" s="20">
        <v>45747.0</v>
      </c>
      <c r="B202" s="21" t="s">
        <v>771</v>
      </c>
      <c r="C202" s="21" t="s">
        <v>366</v>
      </c>
      <c r="D202" s="21" t="s">
        <v>42</v>
      </c>
      <c r="E202" s="21" t="s">
        <v>774</v>
      </c>
      <c r="F202" s="21" t="s">
        <v>775</v>
      </c>
      <c r="G202" s="22">
        <v>1.0</v>
      </c>
      <c r="H202" s="22" t="s">
        <v>73</v>
      </c>
      <c r="I202" s="23">
        <v>9.95</v>
      </c>
      <c r="J202" s="23">
        <v>9.95</v>
      </c>
      <c r="K202" s="21" t="s">
        <v>104</v>
      </c>
    </row>
    <row r="203" ht="21.75" customHeight="1">
      <c r="A203" s="20">
        <v>45747.0</v>
      </c>
      <c r="B203" s="21" t="s">
        <v>771</v>
      </c>
      <c r="C203" s="21" t="s">
        <v>366</v>
      </c>
      <c r="D203" s="21" t="s">
        <v>42</v>
      </c>
      <c r="E203" s="21" t="s">
        <v>777</v>
      </c>
      <c r="F203" s="21" t="s">
        <v>778</v>
      </c>
      <c r="G203" s="22">
        <v>1.0</v>
      </c>
      <c r="H203" s="22" t="s">
        <v>73</v>
      </c>
      <c r="I203" s="23">
        <v>2.37</v>
      </c>
      <c r="J203" s="23">
        <v>2.37</v>
      </c>
      <c r="K203" s="21" t="s">
        <v>104</v>
      </c>
    </row>
    <row r="204" ht="21.75" customHeight="1">
      <c r="A204" s="20">
        <v>45749.0</v>
      </c>
      <c r="B204" s="21" t="s">
        <v>779</v>
      </c>
      <c r="C204" s="21" t="s">
        <v>366</v>
      </c>
      <c r="D204" s="21" t="s">
        <v>42</v>
      </c>
      <c r="E204" s="21" t="s">
        <v>640</v>
      </c>
      <c r="F204" s="21" t="s">
        <v>780</v>
      </c>
      <c r="G204" s="22">
        <v>132.0</v>
      </c>
      <c r="H204" s="22" t="s">
        <v>66</v>
      </c>
      <c r="I204" s="23">
        <v>1.89</v>
      </c>
      <c r="J204" s="23">
        <v>249.48</v>
      </c>
      <c r="K204" s="21" t="s">
        <v>104</v>
      </c>
    </row>
    <row r="205" ht="21.75" customHeight="1">
      <c r="A205" s="20">
        <v>45749.0</v>
      </c>
      <c r="B205" s="21" t="s">
        <v>781</v>
      </c>
      <c r="C205" s="21" t="s">
        <v>176</v>
      </c>
      <c r="D205" s="21" t="s">
        <v>175</v>
      </c>
      <c r="E205" s="21" t="s">
        <v>220</v>
      </c>
      <c r="F205" s="21" t="s">
        <v>513</v>
      </c>
      <c r="G205" s="22">
        <v>2.0</v>
      </c>
      <c r="H205" s="22" t="s">
        <v>177</v>
      </c>
      <c r="I205" s="23">
        <v>275.0</v>
      </c>
      <c r="J205" s="23">
        <f t="shared" ref="J205:J207" si="5">G205*I205</f>
        <v>550</v>
      </c>
      <c r="K205" s="21" t="s">
        <v>104</v>
      </c>
    </row>
    <row r="206" ht="21.75" customHeight="1">
      <c r="A206" s="20">
        <v>45749.0</v>
      </c>
      <c r="B206" s="21" t="s">
        <v>781</v>
      </c>
      <c r="C206" s="21" t="s">
        <v>176</v>
      </c>
      <c r="D206" s="21" t="s">
        <v>175</v>
      </c>
      <c r="E206" s="21" t="s">
        <v>225</v>
      </c>
      <c r="F206" s="21" t="s">
        <v>563</v>
      </c>
      <c r="G206" s="22">
        <v>1.0</v>
      </c>
      <c r="H206" s="22" t="s">
        <v>177</v>
      </c>
      <c r="I206" s="23">
        <v>70.0</v>
      </c>
      <c r="J206" s="23">
        <f t="shared" si="5"/>
        <v>70</v>
      </c>
      <c r="K206" s="21" t="s">
        <v>104</v>
      </c>
    </row>
    <row r="207" ht="21.75" customHeight="1">
      <c r="A207" s="20">
        <v>45749.0</v>
      </c>
      <c r="B207" s="21" t="s">
        <v>781</v>
      </c>
      <c r="C207" s="21" t="s">
        <v>176</v>
      </c>
      <c r="D207" s="21" t="s">
        <v>175</v>
      </c>
      <c r="E207" s="21" t="s">
        <v>784</v>
      </c>
      <c r="F207" s="21" t="s">
        <v>785</v>
      </c>
      <c r="G207" s="22">
        <v>1.0</v>
      </c>
      <c r="H207" s="22" t="s">
        <v>177</v>
      </c>
      <c r="I207" s="23">
        <v>12.99</v>
      </c>
      <c r="J207" s="23">
        <f t="shared" si="5"/>
        <v>12.99</v>
      </c>
      <c r="K207" s="21" t="s">
        <v>104</v>
      </c>
    </row>
    <row r="208" ht="21.75" customHeight="1">
      <c r="A208" s="20">
        <v>45750.0</v>
      </c>
      <c r="B208" s="21" t="s">
        <v>786</v>
      </c>
      <c r="C208" s="21" t="s">
        <v>366</v>
      </c>
      <c r="D208" s="21" t="s">
        <v>42</v>
      </c>
      <c r="E208" s="21" t="s">
        <v>648</v>
      </c>
      <c r="F208" s="21" t="s">
        <v>763</v>
      </c>
      <c r="G208" s="22">
        <v>3.0</v>
      </c>
      <c r="H208" s="22" t="s">
        <v>764</v>
      </c>
      <c r="I208" s="23">
        <v>60.5</v>
      </c>
      <c r="J208" s="23">
        <v>181.5</v>
      </c>
      <c r="K208" s="21" t="s">
        <v>104</v>
      </c>
    </row>
    <row r="209" ht="21.75" customHeight="1">
      <c r="A209" s="20">
        <v>45750.0</v>
      </c>
      <c r="B209" s="21" t="s">
        <v>786</v>
      </c>
      <c r="C209" s="21" t="s">
        <v>366</v>
      </c>
      <c r="D209" s="21" t="s">
        <v>42</v>
      </c>
      <c r="E209" s="21" t="s">
        <v>648</v>
      </c>
      <c r="F209" s="21" t="s">
        <v>788</v>
      </c>
      <c r="G209" s="22">
        <v>3.0</v>
      </c>
      <c r="H209" s="22" t="s">
        <v>764</v>
      </c>
      <c r="I209" s="23">
        <v>60.5</v>
      </c>
      <c r="J209" s="23">
        <v>181.5</v>
      </c>
      <c r="K209" s="21" t="s">
        <v>104</v>
      </c>
    </row>
    <row r="210" ht="21.75" customHeight="1">
      <c r="A210" s="20">
        <v>45750.0</v>
      </c>
      <c r="B210" s="21" t="s">
        <v>786</v>
      </c>
      <c r="C210" s="21" t="s">
        <v>366</v>
      </c>
      <c r="D210" s="21" t="s">
        <v>42</v>
      </c>
      <c r="E210" s="21" t="s">
        <v>790</v>
      </c>
      <c r="F210" s="21" t="s">
        <v>791</v>
      </c>
      <c r="G210" s="22">
        <v>6.0</v>
      </c>
      <c r="H210" s="22" t="s">
        <v>73</v>
      </c>
      <c r="I210" s="23">
        <v>24.06</v>
      </c>
      <c r="J210" s="23">
        <v>144.38</v>
      </c>
      <c r="K210" s="21" t="s">
        <v>104</v>
      </c>
    </row>
    <row r="211" ht="21.75" customHeight="1">
      <c r="A211" s="20">
        <v>45750.0</v>
      </c>
      <c r="B211" s="21" t="s">
        <v>786</v>
      </c>
      <c r="C211" s="21" t="s">
        <v>366</v>
      </c>
      <c r="D211" s="21" t="s">
        <v>42</v>
      </c>
      <c r="E211" s="21" t="s">
        <v>765</v>
      </c>
      <c r="F211" s="21" t="s">
        <v>766</v>
      </c>
      <c r="G211" s="22">
        <v>1.0</v>
      </c>
      <c r="H211" s="22" t="s">
        <v>73</v>
      </c>
      <c r="I211" s="23">
        <v>9.0</v>
      </c>
      <c r="J211" s="23">
        <v>9.0</v>
      </c>
      <c r="K211" s="21" t="s">
        <v>104</v>
      </c>
    </row>
    <row r="212" ht="21.75" customHeight="1">
      <c r="A212" s="20">
        <v>45750.0</v>
      </c>
      <c r="B212" s="21" t="s">
        <v>786</v>
      </c>
      <c r="C212" s="21" t="s">
        <v>366</v>
      </c>
      <c r="D212" s="21" t="s">
        <v>42</v>
      </c>
      <c r="E212" s="21" t="s">
        <v>767</v>
      </c>
      <c r="F212" s="21" t="s">
        <v>768</v>
      </c>
      <c r="G212" s="22">
        <v>1.0</v>
      </c>
      <c r="H212" s="22" t="s">
        <v>73</v>
      </c>
      <c r="I212" s="23">
        <v>5.85</v>
      </c>
      <c r="J212" s="23">
        <v>5.85</v>
      </c>
      <c r="K212" s="21" t="s">
        <v>104</v>
      </c>
    </row>
    <row r="213" ht="21.75" customHeight="1">
      <c r="A213" s="20">
        <v>45750.0</v>
      </c>
      <c r="B213" s="21" t="s">
        <v>786</v>
      </c>
      <c r="C213" s="21" t="s">
        <v>366</v>
      </c>
      <c r="D213" s="21" t="s">
        <v>42</v>
      </c>
      <c r="E213" s="21" t="s">
        <v>367</v>
      </c>
      <c r="F213" s="21" t="s">
        <v>83</v>
      </c>
      <c r="G213" s="22">
        <v>1.0</v>
      </c>
      <c r="H213" s="22" t="s">
        <v>73</v>
      </c>
      <c r="I213" s="23">
        <v>25.0</v>
      </c>
      <c r="J213" s="23">
        <v>25.0</v>
      </c>
      <c r="K213" s="21" t="s">
        <v>104</v>
      </c>
    </row>
    <row r="214" ht="21.75" customHeight="1">
      <c r="A214" s="20">
        <v>45751.0</v>
      </c>
      <c r="B214" s="21" t="s">
        <v>801</v>
      </c>
      <c r="C214" s="21" t="s">
        <v>366</v>
      </c>
      <c r="D214" s="21" t="s">
        <v>42</v>
      </c>
      <c r="E214" s="21" t="s">
        <v>802</v>
      </c>
      <c r="F214" s="21" t="s">
        <v>803</v>
      </c>
      <c r="G214" s="22">
        <v>1.0</v>
      </c>
      <c r="H214" s="22" t="s">
        <v>73</v>
      </c>
      <c r="I214" s="23">
        <v>1.93</v>
      </c>
      <c r="J214" s="23">
        <v>1.93</v>
      </c>
      <c r="K214" s="21" t="s">
        <v>104</v>
      </c>
    </row>
    <row r="215" ht="21.75" customHeight="1">
      <c r="A215" s="20">
        <v>45757.0</v>
      </c>
      <c r="B215" s="21" t="s">
        <v>804</v>
      </c>
      <c r="C215" s="21" t="s">
        <v>366</v>
      </c>
      <c r="D215" s="21" t="s">
        <v>42</v>
      </c>
      <c r="E215" s="21" t="s">
        <v>790</v>
      </c>
      <c r="F215" s="21" t="s">
        <v>791</v>
      </c>
      <c r="G215" s="22">
        <v>6.0</v>
      </c>
      <c r="H215" s="22" t="s">
        <v>73</v>
      </c>
      <c r="I215" s="23">
        <v>24.06</v>
      </c>
      <c r="J215" s="23">
        <v>144.38</v>
      </c>
      <c r="K215" s="21" t="s">
        <v>104</v>
      </c>
    </row>
    <row r="216" ht="21.75" customHeight="1">
      <c r="A216" s="20">
        <v>45757.0</v>
      </c>
      <c r="B216" s="21" t="s">
        <v>808</v>
      </c>
      <c r="C216" s="21" t="s">
        <v>366</v>
      </c>
      <c r="D216" s="21" t="s">
        <v>42</v>
      </c>
      <c r="E216" s="21" t="s">
        <v>810</v>
      </c>
      <c r="F216" s="21" t="s">
        <v>811</v>
      </c>
      <c r="G216" s="22">
        <v>12.0</v>
      </c>
      <c r="H216" s="22" t="s">
        <v>812</v>
      </c>
      <c r="I216" s="23">
        <v>5.14</v>
      </c>
      <c r="J216" s="23">
        <v>61.68</v>
      </c>
      <c r="K216" s="21" t="s">
        <v>104</v>
      </c>
    </row>
    <row r="217" ht="21.75" customHeight="1">
      <c r="A217" s="20">
        <v>45757.0</v>
      </c>
      <c r="B217" s="21" t="s">
        <v>808</v>
      </c>
      <c r="C217" s="21" t="s">
        <v>366</v>
      </c>
      <c r="D217" s="21" t="s">
        <v>42</v>
      </c>
      <c r="E217" s="21" t="s">
        <v>816</v>
      </c>
      <c r="F217" s="21" t="s">
        <v>817</v>
      </c>
      <c r="G217" s="22">
        <v>12.0</v>
      </c>
      <c r="H217" s="22" t="s">
        <v>812</v>
      </c>
      <c r="I217" s="23">
        <v>5.14</v>
      </c>
      <c r="J217" s="23">
        <v>61.68</v>
      </c>
      <c r="K217" s="21" t="s">
        <v>104</v>
      </c>
    </row>
    <row r="218" ht="21.75" customHeight="1">
      <c r="A218" s="20">
        <v>45758.0</v>
      </c>
      <c r="B218" s="21" t="s">
        <v>820</v>
      </c>
      <c r="C218" s="21" t="s">
        <v>366</v>
      </c>
      <c r="D218" s="21" t="s">
        <v>42</v>
      </c>
      <c r="E218" s="21" t="s">
        <v>671</v>
      </c>
      <c r="F218" s="21" t="s">
        <v>822</v>
      </c>
      <c r="G218" s="22">
        <v>4.0</v>
      </c>
      <c r="H218" s="22" t="s">
        <v>73</v>
      </c>
      <c r="I218" s="24">
        <v>36.925</v>
      </c>
      <c r="J218" s="23">
        <v>147.7</v>
      </c>
      <c r="K218" s="21" t="s">
        <v>104</v>
      </c>
    </row>
    <row r="219" ht="21.75" customHeight="1">
      <c r="A219" s="20">
        <v>45758.0</v>
      </c>
      <c r="B219" s="21" t="s">
        <v>825</v>
      </c>
      <c r="C219" s="21" t="s">
        <v>366</v>
      </c>
      <c r="D219" s="21" t="s">
        <v>42</v>
      </c>
      <c r="E219" s="21" t="s">
        <v>827</v>
      </c>
      <c r="F219" s="21" t="s">
        <v>828</v>
      </c>
      <c r="G219" s="22">
        <v>2.0</v>
      </c>
      <c r="H219" s="22" t="s">
        <v>73</v>
      </c>
      <c r="I219" s="23">
        <v>17.9</v>
      </c>
      <c r="J219" s="23">
        <v>35.8</v>
      </c>
      <c r="K219" s="21" t="s">
        <v>104</v>
      </c>
    </row>
    <row r="220" ht="21.75" customHeight="1">
      <c r="A220" s="20">
        <v>45758.0</v>
      </c>
      <c r="B220" s="21" t="s">
        <v>825</v>
      </c>
      <c r="C220" s="21" t="s">
        <v>366</v>
      </c>
      <c r="D220" s="21" t="s">
        <v>42</v>
      </c>
      <c r="E220" s="21" t="s">
        <v>832</v>
      </c>
      <c r="F220" s="21" t="s">
        <v>833</v>
      </c>
      <c r="G220" s="22">
        <v>25.0</v>
      </c>
      <c r="H220" s="22" t="s">
        <v>73</v>
      </c>
      <c r="I220" s="23">
        <v>1.45</v>
      </c>
      <c r="J220" s="23">
        <v>36.25</v>
      </c>
      <c r="K220" s="21" t="s">
        <v>104</v>
      </c>
    </row>
    <row r="221" ht="21.75" customHeight="1">
      <c r="A221" s="20">
        <v>45758.0</v>
      </c>
      <c r="B221" s="21" t="s">
        <v>825</v>
      </c>
      <c r="C221" s="21" t="s">
        <v>366</v>
      </c>
      <c r="D221" s="21" t="s">
        <v>42</v>
      </c>
      <c r="E221" s="21" t="s">
        <v>837</v>
      </c>
      <c r="F221" s="21" t="s">
        <v>838</v>
      </c>
      <c r="G221" s="22">
        <v>2.0</v>
      </c>
      <c r="H221" s="22" t="s">
        <v>73</v>
      </c>
      <c r="I221" s="23">
        <v>21.94</v>
      </c>
      <c r="J221" s="23">
        <v>43.87</v>
      </c>
      <c r="K221" s="21" t="s">
        <v>104</v>
      </c>
    </row>
    <row r="222" ht="21.75" customHeight="1">
      <c r="A222" s="20">
        <v>45758.0</v>
      </c>
      <c r="B222" s="21" t="s">
        <v>825</v>
      </c>
      <c r="C222" s="21" t="s">
        <v>366</v>
      </c>
      <c r="D222" s="21" t="s">
        <v>42</v>
      </c>
      <c r="E222" s="21" t="s">
        <v>839</v>
      </c>
      <c r="F222" s="21" t="s">
        <v>840</v>
      </c>
      <c r="G222" s="22">
        <v>1.0</v>
      </c>
      <c r="H222" s="22" t="s">
        <v>73</v>
      </c>
      <c r="I222" s="23">
        <v>35.14</v>
      </c>
      <c r="J222" s="23">
        <v>35.14</v>
      </c>
      <c r="K222" s="21" t="s">
        <v>104</v>
      </c>
    </row>
    <row r="223" ht="21.75" customHeight="1">
      <c r="A223" s="20">
        <v>45758.0</v>
      </c>
      <c r="B223" s="21" t="s">
        <v>825</v>
      </c>
      <c r="C223" s="21" t="s">
        <v>366</v>
      </c>
      <c r="D223" s="21" t="s">
        <v>42</v>
      </c>
      <c r="E223" s="21" t="s">
        <v>841</v>
      </c>
      <c r="F223" s="21" t="s">
        <v>842</v>
      </c>
      <c r="G223" s="22">
        <v>1.0</v>
      </c>
      <c r="H223" s="22" t="s">
        <v>73</v>
      </c>
      <c r="I223" s="23">
        <v>12.46</v>
      </c>
      <c r="J223" s="23">
        <v>12.46</v>
      </c>
      <c r="K223" s="21" t="s">
        <v>104</v>
      </c>
    </row>
    <row r="224" ht="21.75" customHeight="1">
      <c r="A224" s="20">
        <v>45758.0</v>
      </c>
      <c r="B224" s="21" t="s">
        <v>825</v>
      </c>
      <c r="C224" s="21" t="s">
        <v>366</v>
      </c>
      <c r="D224" s="21" t="s">
        <v>42</v>
      </c>
      <c r="E224" s="21" t="s">
        <v>655</v>
      </c>
      <c r="F224" s="21" t="s">
        <v>845</v>
      </c>
      <c r="G224" s="22">
        <v>2.0</v>
      </c>
      <c r="H224" s="22" t="s">
        <v>846</v>
      </c>
      <c r="I224" s="23">
        <v>17.5</v>
      </c>
      <c r="J224" s="23">
        <v>35.01</v>
      </c>
      <c r="K224" s="21" t="s">
        <v>104</v>
      </c>
    </row>
    <row r="225" ht="21.75" customHeight="1">
      <c r="A225" s="20">
        <v>45758.0</v>
      </c>
      <c r="B225" s="21" t="s">
        <v>825</v>
      </c>
      <c r="C225" s="21" t="s">
        <v>366</v>
      </c>
      <c r="D225" s="21" t="s">
        <v>42</v>
      </c>
      <c r="E225" s="21" t="s">
        <v>663</v>
      </c>
      <c r="F225" s="21" t="s">
        <v>850</v>
      </c>
      <c r="G225" s="22">
        <v>2.0</v>
      </c>
      <c r="H225" s="22" t="s">
        <v>846</v>
      </c>
      <c r="I225" s="23">
        <v>11.38</v>
      </c>
      <c r="J225" s="23">
        <v>22.77</v>
      </c>
      <c r="K225" s="21" t="s">
        <v>104</v>
      </c>
    </row>
    <row r="226" ht="21.75" customHeight="1">
      <c r="A226" s="20">
        <v>45768.0</v>
      </c>
      <c r="B226" s="21" t="s">
        <v>854</v>
      </c>
      <c r="C226" s="21" t="s">
        <v>71</v>
      </c>
      <c r="D226" s="21" t="s">
        <v>42</v>
      </c>
      <c r="E226" s="21" t="s">
        <v>343</v>
      </c>
      <c r="F226" s="21" t="s">
        <v>395</v>
      </c>
      <c r="G226" s="22">
        <v>2.0</v>
      </c>
      <c r="H226" s="22" t="s">
        <v>66</v>
      </c>
      <c r="I226" s="23">
        <v>8.64</v>
      </c>
      <c r="J226" s="23">
        <v>864.0</v>
      </c>
      <c r="K226" s="21" t="s">
        <v>104</v>
      </c>
    </row>
    <row r="227" ht="21.75" customHeight="1">
      <c r="A227" s="20">
        <v>45768.0</v>
      </c>
      <c r="B227" s="21" t="s">
        <v>854</v>
      </c>
      <c r="C227" s="21" t="s">
        <v>71</v>
      </c>
      <c r="D227" s="21" t="s">
        <v>42</v>
      </c>
      <c r="E227" s="21" t="s">
        <v>204</v>
      </c>
      <c r="F227" s="21" t="s">
        <v>337</v>
      </c>
      <c r="G227" s="22">
        <v>8.0</v>
      </c>
      <c r="H227" s="22" t="s">
        <v>66</v>
      </c>
      <c r="I227" s="23">
        <v>9.45</v>
      </c>
      <c r="J227" s="23">
        <v>3780.0</v>
      </c>
      <c r="K227" s="21" t="s">
        <v>104</v>
      </c>
    </row>
    <row r="228" ht="21.75" customHeight="1">
      <c r="A228" s="20">
        <v>45771.0</v>
      </c>
      <c r="B228" s="21" t="s">
        <v>858</v>
      </c>
      <c r="C228" s="21" t="s">
        <v>176</v>
      </c>
      <c r="D228" s="21" t="s">
        <v>226</v>
      </c>
      <c r="E228" s="21" t="s">
        <v>859</v>
      </c>
      <c r="F228" s="21" t="s">
        <v>860</v>
      </c>
      <c r="G228" s="22">
        <v>1.0</v>
      </c>
      <c r="H228" s="22" t="s">
        <v>177</v>
      </c>
      <c r="I228" s="23">
        <v>99.0</v>
      </c>
      <c r="J228" s="23">
        <f t="shared" ref="J228:J231" si="6">G228*I228</f>
        <v>99</v>
      </c>
      <c r="K228" s="21" t="s">
        <v>104</v>
      </c>
    </row>
    <row r="229" ht="21.75" customHeight="1">
      <c r="A229" s="20">
        <v>45771.0</v>
      </c>
      <c r="B229" s="21" t="s">
        <v>858</v>
      </c>
      <c r="C229" s="21" t="s">
        <v>176</v>
      </c>
      <c r="D229" s="21" t="s">
        <v>175</v>
      </c>
      <c r="E229" s="21" t="s">
        <v>213</v>
      </c>
      <c r="F229" s="21" t="s">
        <v>862</v>
      </c>
      <c r="G229" s="22">
        <v>3.0</v>
      </c>
      <c r="H229" s="22" t="s">
        <v>177</v>
      </c>
      <c r="I229" s="23">
        <v>19.95</v>
      </c>
      <c r="J229" s="23">
        <f t="shared" si="6"/>
        <v>59.85</v>
      </c>
      <c r="K229" s="21" t="s">
        <v>104</v>
      </c>
    </row>
    <row r="230" ht="21.75" customHeight="1">
      <c r="A230" s="20">
        <v>45771.0</v>
      </c>
      <c r="B230" s="21" t="s">
        <v>858</v>
      </c>
      <c r="C230" s="21" t="s">
        <v>176</v>
      </c>
      <c r="D230" s="21" t="s">
        <v>175</v>
      </c>
      <c r="E230" s="21" t="s">
        <v>256</v>
      </c>
      <c r="F230" s="21" t="s">
        <v>536</v>
      </c>
      <c r="G230" s="22">
        <v>2.0</v>
      </c>
      <c r="H230" s="22" t="s">
        <v>177</v>
      </c>
      <c r="I230" s="23">
        <v>48.0</v>
      </c>
      <c r="J230" s="23">
        <f t="shared" si="6"/>
        <v>96</v>
      </c>
      <c r="K230" s="21" t="s">
        <v>104</v>
      </c>
    </row>
    <row r="231" ht="21.75" customHeight="1">
      <c r="A231" s="20">
        <v>45771.0</v>
      </c>
      <c r="B231" s="21" t="s">
        <v>858</v>
      </c>
      <c r="C231" s="21" t="s">
        <v>176</v>
      </c>
      <c r="D231" s="21" t="s">
        <v>175</v>
      </c>
      <c r="E231" s="21" t="s">
        <v>863</v>
      </c>
      <c r="F231" s="21" t="s">
        <v>864</v>
      </c>
      <c r="G231" s="22">
        <v>1.0</v>
      </c>
      <c r="H231" s="22" t="s">
        <v>177</v>
      </c>
      <c r="I231" s="23">
        <v>24.95</v>
      </c>
      <c r="J231" s="23">
        <f t="shared" si="6"/>
        <v>24.95</v>
      </c>
      <c r="K231" s="21" t="s">
        <v>104</v>
      </c>
    </row>
    <row r="232" ht="21.75" customHeight="1">
      <c r="A232" s="20">
        <v>45772.0</v>
      </c>
      <c r="B232" s="21" t="s">
        <v>867</v>
      </c>
      <c r="C232" s="21" t="s">
        <v>366</v>
      </c>
      <c r="D232" s="21" t="s">
        <v>42</v>
      </c>
      <c r="E232" s="21" t="s">
        <v>648</v>
      </c>
      <c r="F232" s="21" t="s">
        <v>763</v>
      </c>
      <c r="G232" s="22">
        <v>6.0</v>
      </c>
      <c r="H232" s="22" t="s">
        <v>764</v>
      </c>
      <c r="I232" s="23">
        <v>60.5</v>
      </c>
      <c r="J232" s="23">
        <v>363.0</v>
      </c>
      <c r="K232" s="21" t="s">
        <v>104</v>
      </c>
    </row>
    <row r="233" ht="21.75" customHeight="1">
      <c r="A233" s="20">
        <v>45772.0</v>
      </c>
      <c r="B233" s="21" t="s">
        <v>867</v>
      </c>
      <c r="C233" s="21" t="s">
        <v>366</v>
      </c>
      <c r="D233" s="21" t="s">
        <v>42</v>
      </c>
      <c r="E233" s="21" t="s">
        <v>765</v>
      </c>
      <c r="F233" s="21" t="s">
        <v>766</v>
      </c>
      <c r="G233" s="22">
        <v>1.0</v>
      </c>
      <c r="H233" s="22" t="s">
        <v>73</v>
      </c>
      <c r="I233" s="23">
        <v>9.0</v>
      </c>
      <c r="J233" s="23">
        <v>9.0</v>
      </c>
      <c r="K233" s="21" t="s">
        <v>104</v>
      </c>
    </row>
    <row r="234" ht="21.75" customHeight="1">
      <c r="A234" s="20">
        <v>45772.0</v>
      </c>
      <c r="B234" s="21" t="s">
        <v>867</v>
      </c>
      <c r="C234" s="21" t="s">
        <v>366</v>
      </c>
      <c r="D234" s="21" t="s">
        <v>42</v>
      </c>
      <c r="E234" s="21" t="s">
        <v>767</v>
      </c>
      <c r="F234" s="21" t="s">
        <v>768</v>
      </c>
      <c r="G234" s="22">
        <v>1.0</v>
      </c>
      <c r="H234" s="22" t="s">
        <v>73</v>
      </c>
      <c r="I234" s="23">
        <v>11.7</v>
      </c>
      <c r="J234" s="23">
        <v>11.7</v>
      </c>
      <c r="K234" s="21" t="s">
        <v>104</v>
      </c>
    </row>
    <row r="235" ht="21.75" customHeight="1">
      <c r="A235" s="20">
        <v>45772.0</v>
      </c>
      <c r="B235" s="21" t="s">
        <v>867</v>
      </c>
      <c r="C235" s="21" t="s">
        <v>366</v>
      </c>
      <c r="D235" s="21" t="s">
        <v>42</v>
      </c>
      <c r="E235" s="21" t="s">
        <v>367</v>
      </c>
      <c r="F235" s="21" t="s">
        <v>83</v>
      </c>
      <c r="G235" s="22">
        <v>1.0</v>
      </c>
      <c r="H235" s="22" t="s">
        <v>73</v>
      </c>
      <c r="I235" s="23">
        <v>25.0</v>
      </c>
      <c r="J235" s="23">
        <v>25.0</v>
      </c>
      <c r="K235" s="21" t="s">
        <v>104</v>
      </c>
    </row>
    <row r="236" ht="21.75" customHeight="1">
      <c r="A236" s="20">
        <v>45777.0</v>
      </c>
      <c r="B236" s="21" t="s">
        <v>870</v>
      </c>
      <c r="C236" s="21" t="s">
        <v>366</v>
      </c>
      <c r="D236" s="21" t="s">
        <v>42</v>
      </c>
      <c r="E236" s="21" t="s">
        <v>772</v>
      </c>
      <c r="F236" s="21" t="s">
        <v>773</v>
      </c>
      <c r="G236" s="22">
        <v>5.0</v>
      </c>
      <c r="H236" s="22" t="s">
        <v>764</v>
      </c>
      <c r="I236" s="23">
        <v>9.24</v>
      </c>
      <c r="J236" s="23">
        <v>46.2</v>
      </c>
      <c r="K236" s="21" t="s">
        <v>104</v>
      </c>
    </row>
    <row r="237" ht="21.75" customHeight="1">
      <c r="A237" s="20">
        <v>45777.0</v>
      </c>
      <c r="B237" s="21" t="s">
        <v>870</v>
      </c>
      <c r="C237" s="21" t="s">
        <v>366</v>
      </c>
      <c r="D237" s="21" t="s">
        <v>42</v>
      </c>
      <c r="E237" s="21" t="s">
        <v>774</v>
      </c>
      <c r="F237" s="21" t="s">
        <v>775</v>
      </c>
      <c r="G237" s="22">
        <v>1.0</v>
      </c>
      <c r="H237" s="22" t="s">
        <v>73</v>
      </c>
      <c r="I237" s="23">
        <v>9.95</v>
      </c>
      <c r="J237" s="23">
        <v>9.95</v>
      </c>
      <c r="K237" s="21" t="s">
        <v>104</v>
      </c>
    </row>
    <row r="238" ht="21.75" customHeight="1">
      <c r="A238" s="20">
        <v>45777.0</v>
      </c>
      <c r="B238" s="21" t="s">
        <v>870</v>
      </c>
      <c r="C238" s="21" t="s">
        <v>366</v>
      </c>
      <c r="D238" s="21" t="s">
        <v>42</v>
      </c>
      <c r="E238" s="21" t="s">
        <v>777</v>
      </c>
      <c r="F238" s="21" t="s">
        <v>778</v>
      </c>
      <c r="G238" s="22">
        <v>1.0</v>
      </c>
      <c r="H238" s="22" t="s">
        <v>73</v>
      </c>
      <c r="I238" s="23">
        <v>3.54</v>
      </c>
      <c r="J238" s="23">
        <v>3.54</v>
      </c>
      <c r="K238" s="21" t="s">
        <v>104</v>
      </c>
    </row>
    <row r="239" ht="21.75" customHeight="1">
      <c r="A239" s="20">
        <v>45777.0</v>
      </c>
      <c r="B239" s="21" t="s">
        <v>871</v>
      </c>
      <c r="C239" s="21" t="s">
        <v>240</v>
      </c>
      <c r="D239" s="21"/>
      <c r="E239" s="21" t="s">
        <v>241</v>
      </c>
      <c r="F239" s="21" t="s">
        <v>712</v>
      </c>
      <c r="G239" s="22">
        <v>50.0</v>
      </c>
      <c r="H239" s="22" t="s">
        <v>177</v>
      </c>
      <c r="I239" s="23">
        <v>9.0</v>
      </c>
      <c r="J239" s="23">
        <v>450.0</v>
      </c>
      <c r="K239" s="21" t="s">
        <v>104</v>
      </c>
    </row>
    <row r="240" ht="21.75" customHeight="1">
      <c r="A240" s="20">
        <v>45777.0</v>
      </c>
      <c r="B240" s="21" t="s">
        <v>871</v>
      </c>
      <c r="C240" s="21" t="s">
        <v>240</v>
      </c>
      <c r="D240" s="21"/>
      <c r="E240" s="21" t="s">
        <v>285</v>
      </c>
      <c r="F240" s="21"/>
      <c r="G240" s="22">
        <v>4.0</v>
      </c>
      <c r="H240" s="22" t="s">
        <v>559</v>
      </c>
      <c r="I240" s="23">
        <v>40.0</v>
      </c>
      <c r="J240" s="23">
        <v>160.0</v>
      </c>
      <c r="K240" s="21" t="s">
        <v>104</v>
      </c>
    </row>
    <row r="241" ht="21.75" customHeight="1">
      <c r="A241" s="20">
        <v>45778.0</v>
      </c>
      <c r="B241" s="21" t="s">
        <v>872</v>
      </c>
      <c r="C241" s="21" t="s">
        <v>366</v>
      </c>
      <c r="D241" s="21" t="s">
        <v>42</v>
      </c>
      <c r="E241" s="21" t="s">
        <v>640</v>
      </c>
      <c r="F241" s="21" t="s">
        <v>780</v>
      </c>
      <c r="G241" s="22">
        <v>165.0</v>
      </c>
      <c r="H241" s="22" t="s">
        <v>66</v>
      </c>
      <c r="I241" s="23">
        <v>1.89</v>
      </c>
      <c r="J241" s="23">
        <v>311.85</v>
      </c>
      <c r="K241" s="21" t="s">
        <v>104</v>
      </c>
    </row>
    <row r="242" ht="21.75" customHeight="1">
      <c r="A242" s="20">
        <v>45779.0</v>
      </c>
      <c r="B242" s="21" t="s">
        <v>873</v>
      </c>
      <c r="C242" s="21" t="s">
        <v>240</v>
      </c>
      <c r="D242" s="21"/>
      <c r="E242" s="21" t="s">
        <v>660</v>
      </c>
      <c r="F242" s="21" t="s">
        <v>844</v>
      </c>
      <c r="G242" s="22">
        <v>4.0</v>
      </c>
      <c r="H242" s="22" t="s">
        <v>546</v>
      </c>
      <c r="I242" s="23">
        <v>50.0</v>
      </c>
      <c r="J242" s="23">
        <v>200.0</v>
      </c>
      <c r="K242" s="21" t="s">
        <v>104</v>
      </c>
    </row>
    <row r="243" ht="21.75" customHeight="1">
      <c r="A243" s="20">
        <v>45779.0</v>
      </c>
      <c r="B243" s="21" t="s">
        <v>873</v>
      </c>
      <c r="C243" s="21" t="s">
        <v>240</v>
      </c>
      <c r="D243" s="21"/>
      <c r="E243" s="21" t="s">
        <v>545</v>
      </c>
      <c r="F243" s="21" t="s">
        <v>844</v>
      </c>
      <c r="G243" s="22">
        <v>1.0</v>
      </c>
      <c r="H243" s="22" t="s">
        <v>546</v>
      </c>
      <c r="I243" s="23">
        <v>50.0</v>
      </c>
      <c r="J243" s="23">
        <v>50.0</v>
      </c>
      <c r="K243" s="21" t="s">
        <v>104</v>
      </c>
    </row>
    <row r="244" ht="21.75" customHeight="1">
      <c r="A244" s="20">
        <v>45779.0</v>
      </c>
      <c r="B244" s="21" t="s">
        <v>873</v>
      </c>
      <c r="C244" s="21" t="s">
        <v>240</v>
      </c>
      <c r="D244" s="21"/>
      <c r="E244" s="21" t="s">
        <v>549</v>
      </c>
      <c r="F244" s="21" t="s">
        <v>844</v>
      </c>
      <c r="G244" s="22">
        <v>2.0</v>
      </c>
      <c r="H244" s="22" t="s">
        <v>546</v>
      </c>
      <c r="I244" s="23">
        <v>50.0</v>
      </c>
      <c r="J244" s="23">
        <v>100.0</v>
      </c>
      <c r="K244" s="21" t="s">
        <v>104</v>
      </c>
    </row>
    <row r="245" ht="21.75" customHeight="1">
      <c r="A245" s="20">
        <v>45779.0</v>
      </c>
      <c r="B245" s="21" t="s">
        <v>873</v>
      </c>
      <c r="C245" s="21" t="s">
        <v>240</v>
      </c>
      <c r="D245" s="21"/>
      <c r="E245" s="21" t="s">
        <v>865</v>
      </c>
      <c r="F245" s="21" t="s">
        <v>844</v>
      </c>
      <c r="G245" s="22">
        <v>1.0</v>
      </c>
      <c r="H245" s="22" t="s">
        <v>562</v>
      </c>
      <c r="I245" s="23">
        <v>40.0</v>
      </c>
      <c r="J245" s="23">
        <v>40.0</v>
      </c>
      <c r="K245" s="21" t="s">
        <v>104</v>
      </c>
    </row>
    <row r="246" ht="21.75" customHeight="1">
      <c r="A246" s="20">
        <v>45779.0</v>
      </c>
      <c r="B246" s="21" t="s">
        <v>873</v>
      </c>
      <c r="C246" s="21" t="s">
        <v>240</v>
      </c>
      <c r="D246" s="21"/>
      <c r="E246" s="21" t="s">
        <v>591</v>
      </c>
      <c r="F246" s="21" t="s">
        <v>844</v>
      </c>
      <c r="G246" s="22">
        <v>1.0</v>
      </c>
      <c r="H246" s="22" t="s">
        <v>562</v>
      </c>
      <c r="I246" s="23">
        <v>40.0</v>
      </c>
      <c r="J246" s="23">
        <v>40.0</v>
      </c>
      <c r="K246" s="21" t="s">
        <v>104</v>
      </c>
    </row>
    <row r="247" ht="21.75" customHeight="1">
      <c r="A247" s="20">
        <v>45779.0</v>
      </c>
      <c r="B247" s="21" t="s">
        <v>873</v>
      </c>
      <c r="C247" s="21" t="s">
        <v>240</v>
      </c>
      <c r="D247" s="21"/>
      <c r="E247" s="21" t="s">
        <v>561</v>
      </c>
      <c r="F247" s="21" t="s">
        <v>844</v>
      </c>
      <c r="G247" s="22">
        <v>1.0</v>
      </c>
      <c r="H247" s="22" t="s">
        <v>562</v>
      </c>
      <c r="I247" s="23">
        <v>40.0</v>
      </c>
      <c r="J247" s="23">
        <v>40.0</v>
      </c>
      <c r="K247" s="21" t="s">
        <v>104</v>
      </c>
    </row>
    <row r="248" ht="21.75" customHeight="1">
      <c r="A248" s="20">
        <v>45779.0</v>
      </c>
      <c r="B248" s="21" t="s">
        <v>873</v>
      </c>
      <c r="C248" s="21" t="s">
        <v>240</v>
      </c>
      <c r="D248" s="21"/>
      <c r="E248" s="21" t="s">
        <v>876</v>
      </c>
      <c r="F248" s="21" t="s">
        <v>877</v>
      </c>
      <c r="G248" s="22">
        <v>1.0</v>
      </c>
      <c r="H248" s="22" t="s">
        <v>878</v>
      </c>
      <c r="I248" s="23">
        <v>55.0</v>
      </c>
      <c r="J248" s="23">
        <v>55.0</v>
      </c>
      <c r="K248" s="21" t="s">
        <v>104</v>
      </c>
    </row>
    <row r="249" ht="21.75" customHeight="1">
      <c r="A249" s="20">
        <v>45780.0</v>
      </c>
      <c r="B249" s="21" t="s">
        <v>879</v>
      </c>
      <c r="C249" s="21" t="s">
        <v>240</v>
      </c>
      <c r="D249" s="21"/>
      <c r="E249" s="21" t="s">
        <v>599</v>
      </c>
      <c r="F249" s="21" t="s">
        <v>880</v>
      </c>
      <c r="G249" s="22">
        <v>2.0</v>
      </c>
      <c r="H249" s="22" t="s">
        <v>600</v>
      </c>
      <c r="I249" s="23">
        <v>50.0</v>
      </c>
      <c r="J249" s="23">
        <v>100.0</v>
      </c>
      <c r="K249" s="21" t="s">
        <v>104</v>
      </c>
    </row>
    <row r="250" ht="21.75" customHeight="1">
      <c r="A250" s="20">
        <v>45783.0</v>
      </c>
      <c r="B250" s="21" t="s">
        <v>881</v>
      </c>
      <c r="C250" s="21" t="s">
        <v>240</v>
      </c>
      <c r="D250" s="21"/>
      <c r="E250" s="21" t="s">
        <v>579</v>
      </c>
      <c r="F250" s="21"/>
      <c r="G250" s="22">
        <v>2.0</v>
      </c>
      <c r="H250" s="22" t="s">
        <v>581</v>
      </c>
      <c r="I250" s="23">
        <v>65.0</v>
      </c>
      <c r="J250" s="23">
        <v>130.0</v>
      </c>
      <c r="K250" s="21" t="s">
        <v>104</v>
      </c>
    </row>
    <row r="251" ht="21.75" customHeight="1">
      <c r="A251" s="20">
        <v>45783.0</v>
      </c>
      <c r="B251" s="21" t="s">
        <v>881</v>
      </c>
      <c r="C251" s="21" t="s">
        <v>240</v>
      </c>
      <c r="D251" s="21"/>
      <c r="E251" s="21" t="s">
        <v>587</v>
      </c>
      <c r="F251" s="21" t="s">
        <v>692</v>
      </c>
      <c r="G251" s="22">
        <v>2.0</v>
      </c>
      <c r="H251" s="22" t="s">
        <v>588</v>
      </c>
      <c r="I251" s="23">
        <v>35.0</v>
      </c>
      <c r="J251" s="23">
        <v>70.0</v>
      </c>
      <c r="K251" s="21" t="s">
        <v>104</v>
      </c>
    </row>
    <row r="252" ht="21.75" customHeight="1">
      <c r="A252" s="20">
        <v>45783.0</v>
      </c>
      <c r="B252" s="21" t="s">
        <v>881</v>
      </c>
      <c r="C252" s="21" t="s">
        <v>240</v>
      </c>
      <c r="D252" s="21"/>
      <c r="E252" s="21" t="s">
        <v>355</v>
      </c>
      <c r="F252" s="21"/>
      <c r="G252" s="22">
        <v>2.0</v>
      </c>
      <c r="H252" s="22" t="s">
        <v>575</v>
      </c>
      <c r="I252" s="23">
        <v>100.0</v>
      </c>
      <c r="J252" s="23">
        <v>200.0</v>
      </c>
      <c r="K252" s="21" t="s">
        <v>104</v>
      </c>
    </row>
    <row r="253" ht="21.75" customHeight="1">
      <c r="A253" s="20">
        <v>45786.0</v>
      </c>
      <c r="B253" s="21" t="s">
        <v>882</v>
      </c>
      <c r="C253" s="21" t="s">
        <v>366</v>
      </c>
      <c r="D253" s="21" t="s">
        <v>42</v>
      </c>
      <c r="E253" s="21" t="s">
        <v>717</v>
      </c>
      <c r="F253" s="21" t="s">
        <v>883</v>
      </c>
      <c r="G253" s="22">
        <v>10.0</v>
      </c>
      <c r="H253" s="22" t="s">
        <v>73</v>
      </c>
      <c r="I253" s="23">
        <v>10.78</v>
      </c>
      <c r="J253" s="23">
        <v>107.8</v>
      </c>
      <c r="K253" s="21" t="s">
        <v>104</v>
      </c>
    </row>
    <row r="254" ht="21.75" customHeight="1">
      <c r="A254" s="20">
        <v>45786.0</v>
      </c>
      <c r="B254" s="21" t="s">
        <v>882</v>
      </c>
      <c r="C254" s="21" t="s">
        <v>366</v>
      </c>
      <c r="D254" s="21" t="s">
        <v>42</v>
      </c>
      <c r="E254" s="21" t="s">
        <v>885</v>
      </c>
      <c r="F254" s="21" t="s">
        <v>886</v>
      </c>
      <c r="G254" s="22">
        <v>10.0</v>
      </c>
      <c r="H254" s="22" t="s">
        <v>73</v>
      </c>
      <c r="I254" s="23">
        <v>6.62</v>
      </c>
      <c r="J254" s="23">
        <v>66.15</v>
      </c>
      <c r="K254" s="21" t="s">
        <v>104</v>
      </c>
    </row>
    <row r="255" ht="21.75" customHeight="1">
      <c r="A255" s="20">
        <v>45786.0</v>
      </c>
      <c r="B255" s="21" t="s">
        <v>882</v>
      </c>
      <c r="C255" s="21" t="s">
        <v>366</v>
      </c>
      <c r="D255" s="21" t="s">
        <v>42</v>
      </c>
      <c r="E255" s="21" t="s">
        <v>655</v>
      </c>
      <c r="F255" s="21" t="s">
        <v>845</v>
      </c>
      <c r="G255" s="22">
        <v>1.0</v>
      </c>
      <c r="H255" s="22" t="s">
        <v>846</v>
      </c>
      <c r="I255" s="23">
        <v>17.5</v>
      </c>
      <c r="J255" s="23">
        <v>17.5</v>
      </c>
      <c r="K255" s="21" t="s">
        <v>104</v>
      </c>
    </row>
    <row r="256" ht="21.75" customHeight="1">
      <c r="A256" s="20">
        <v>45786.0</v>
      </c>
      <c r="B256" s="21" t="s">
        <v>882</v>
      </c>
      <c r="C256" s="21" t="s">
        <v>366</v>
      </c>
      <c r="D256" s="21" t="s">
        <v>42</v>
      </c>
      <c r="E256" s="21" t="s">
        <v>663</v>
      </c>
      <c r="F256" s="21" t="s">
        <v>850</v>
      </c>
      <c r="G256" s="22">
        <v>1.0</v>
      </c>
      <c r="H256" s="22" t="s">
        <v>846</v>
      </c>
      <c r="I256" s="23">
        <v>11.38</v>
      </c>
      <c r="J256" s="23">
        <v>11.38</v>
      </c>
      <c r="K256" s="21" t="s">
        <v>104</v>
      </c>
    </row>
    <row r="257" ht="21.75" customHeight="1">
      <c r="A257" s="20">
        <v>45786.0</v>
      </c>
      <c r="B257" s="21" t="s">
        <v>882</v>
      </c>
      <c r="C257" s="21" t="s">
        <v>366</v>
      </c>
      <c r="D257" s="21" t="s">
        <v>42</v>
      </c>
      <c r="E257" s="21" t="s">
        <v>367</v>
      </c>
      <c r="F257" s="21" t="s">
        <v>83</v>
      </c>
      <c r="G257" s="22">
        <v>1.0</v>
      </c>
      <c r="H257" s="22" t="s">
        <v>73</v>
      </c>
      <c r="I257" s="23">
        <v>25.0</v>
      </c>
      <c r="J257" s="23">
        <v>25.0</v>
      </c>
      <c r="K257" s="21" t="s">
        <v>104</v>
      </c>
    </row>
    <row r="258" ht="21.75" customHeight="1">
      <c r="A258" s="20">
        <v>45790.0</v>
      </c>
      <c r="B258" s="21" t="s">
        <v>888</v>
      </c>
      <c r="C258" s="21" t="s">
        <v>240</v>
      </c>
      <c r="D258" s="21"/>
      <c r="E258" s="21" t="s">
        <v>540</v>
      </c>
      <c r="F258" s="21" t="s">
        <v>889</v>
      </c>
      <c r="G258" s="22">
        <v>8.0</v>
      </c>
      <c r="H258" s="22" t="s">
        <v>542</v>
      </c>
      <c r="I258" s="23">
        <v>30.0</v>
      </c>
      <c r="J258" s="23">
        <v>240.0</v>
      </c>
      <c r="K258" s="21" t="s">
        <v>104</v>
      </c>
    </row>
    <row r="259" ht="21.75" customHeight="1">
      <c r="A259" s="20">
        <v>45790.0</v>
      </c>
      <c r="B259" s="21" t="s">
        <v>888</v>
      </c>
      <c r="C259" s="21" t="s">
        <v>240</v>
      </c>
      <c r="D259" s="21"/>
      <c r="E259" s="21" t="s">
        <v>693</v>
      </c>
      <c r="F259" s="21" t="s">
        <v>889</v>
      </c>
      <c r="G259" s="22">
        <v>4.0</v>
      </c>
      <c r="H259" s="22" t="s">
        <v>542</v>
      </c>
      <c r="I259" s="23">
        <v>30.0</v>
      </c>
      <c r="J259" s="23">
        <v>120.0</v>
      </c>
      <c r="K259" s="21" t="s">
        <v>104</v>
      </c>
    </row>
    <row r="260" ht="21.75" customHeight="1">
      <c r="A260" s="20">
        <v>45793.0</v>
      </c>
      <c r="B260" s="21" t="s">
        <v>890</v>
      </c>
      <c r="C260" s="21" t="s">
        <v>240</v>
      </c>
      <c r="D260" s="21"/>
      <c r="E260" s="21" t="s">
        <v>285</v>
      </c>
      <c r="F260" s="21"/>
      <c r="G260" s="22">
        <v>5.0</v>
      </c>
      <c r="H260" s="22" t="s">
        <v>559</v>
      </c>
      <c r="I260" s="23">
        <v>40.0</v>
      </c>
      <c r="J260" s="23">
        <v>200.0</v>
      </c>
      <c r="K260" s="21" t="s">
        <v>104</v>
      </c>
    </row>
    <row r="261" ht="21.75" customHeight="1">
      <c r="A261" s="20">
        <v>45793.0</v>
      </c>
      <c r="B261" s="21" t="s">
        <v>890</v>
      </c>
      <c r="C261" s="21" t="s">
        <v>240</v>
      </c>
      <c r="D261" s="21"/>
      <c r="E261" s="21" t="s">
        <v>360</v>
      </c>
      <c r="F261" s="21" t="s">
        <v>760</v>
      </c>
      <c r="G261" s="22">
        <v>50.0</v>
      </c>
      <c r="H261" s="22" t="s">
        <v>177</v>
      </c>
      <c r="I261" s="23">
        <v>9.0</v>
      </c>
      <c r="J261" s="23">
        <v>450.0</v>
      </c>
      <c r="K261" s="21" t="s">
        <v>104</v>
      </c>
    </row>
    <row r="262" ht="21.75" customHeight="1">
      <c r="A262" s="20">
        <v>45793.0</v>
      </c>
      <c r="B262" s="21" t="s">
        <v>890</v>
      </c>
      <c r="C262" s="21" t="s">
        <v>240</v>
      </c>
      <c r="D262" s="21"/>
      <c r="E262" s="21" t="s">
        <v>325</v>
      </c>
      <c r="F262" s="21" t="s">
        <v>706</v>
      </c>
      <c r="G262" s="22">
        <v>50.0</v>
      </c>
      <c r="H262" s="22" t="s">
        <v>177</v>
      </c>
      <c r="I262" s="23">
        <v>7.05</v>
      </c>
      <c r="J262" s="23">
        <v>352.5</v>
      </c>
      <c r="K262" s="21" t="s">
        <v>104</v>
      </c>
    </row>
    <row r="263" ht="21.75" customHeight="1">
      <c r="A263" s="20">
        <v>45793.0</v>
      </c>
      <c r="B263" s="21" t="s">
        <v>890</v>
      </c>
      <c r="C263" s="21" t="s">
        <v>240</v>
      </c>
      <c r="D263" s="21"/>
      <c r="E263" s="21" t="s">
        <v>241</v>
      </c>
      <c r="F263" s="21" t="s">
        <v>712</v>
      </c>
      <c r="G263" s="22">
        <v>50.0</v>
      </c>
      <c r="H263" s="22" t="s">
        <v>177</v>
      </c>
      <c r="I263" s="23">
        <v>9.0</v>
      </c>
      <c r="J263" s="23">
        <v>450.0</v>
      </c>
      <c r="K263" s="21" t="s">
        <v>104</v>
      </c>
    </row>
    <row r="264" ht="21.75" customHeight="1">
      <c r="A264" s="20">
        <v>45793.0</v>
      </c>
      <c r="B264" s="21" t="s">
        <v>893</v>
      </c>
      <c r="C264" s="21" t="s">
        <v>240</v>
      </c>
      <c r="D264" s="21"/>
      <c r="E264" s="21" t="s">
        <v>615</v>
      </c>
      <c r="F264" s="21" t="s">
        <v>894</v>
      </c>
      <c r="G264" s="22">
        <v>2.0</v>
      </c>
      <c r="H264" s="22" t="s">
        <v>895</v>
      </c>
      <c r="I264" s="23">
        <v>194.0</v>
      </c>
      <c r="J264" s="23">
        <v>388.0</v>
      </c>
      <c r="K264" s="21" t="s">
        <v>104</v>
      </c>
    </row>
    <row r="265" ht="21.75" customHeight="1">
      <c r="A265" s="20">
        <v>45793.0</v>
      </c>
      <c r="B265" s="21" t="s">
        <v>893</v>
      </c>
      <c r="C265" s="21" t="s">
        <v>240</v>
      </c>
      <c r="D265" s="21"/>
      <c r="E265" s="21" t="s">
        <v>591</v>
      </c>
      <c r="F265" s="21" t="s">
        <v>844</v>
      </c>
      <c r="G265" s="22">
        <v>1.0</v>
      </c>
      <c r="H265" s="22" t="s">
        <v>562</v>
      </c>
      <c r="I265" s="23">
        <v>40.0</v>
      </c>
      <c r="J265" s="23">
        <v>40.0</v>
      </c>
      <c r="K265" s="21" t="s">
        <v>104</v>
      </c>
    </row>
    <row r="266" ht="21.75" customHeight="1">
      <c r="A266" s="20">
        <v>45793.0</v>
      </c>
      <c r="B266" s="21" t="s">
        <v>893</v>
      </c>
      <c r="C266" s="21" t="s">
        <v>240</v>
      </c>
      <c r="D266" s="21"/>
      <c r="E266" s="21" t="s">
        <v>561</v>
      </c>
      <c r="F266" s="21" t="s">
        <v>844</v>
      </c>
      <c r="G266" s="22">
        <v>1.0</v>
      </c>
      <c r="H266" s="22" t="s">
        <v>562</v>
      </c>
      <c r="I266" s="23">
        <v>40.0</v>
      </c>
      <c r="J266" s="23">
        <v>40.0</v>
      </c>
      <c r="K266" s="21" t="s">
        <v>104</v>
      </c>
    </row>
    <row r="267" ht="21.75" customHeight="1">
      <c r="A267" s="20">
        <v>45796.0</v>
      </c>
      <c r="B267" s="21" t="s">
        <v>896</v>
      </c>
      <c r="C267" s="21" t="s">
        <v>366</v>
      </c>
      <c r="D267" s="21" t="s">
        <v>42</v>
      </c>
      <c r="E267" s="21" t="s">
        <v>648</v>
      </c>
      <c r="F267" s="21" t="s">
        <v>763</v>
      </c>
      <c r="G267" s="22">
        <v>6.0</v>
      </c>
      <c r="H267" s="22" t="s">
        <v>764</v>
      </c>
      <c r="I267" s="23">
        <v>60.5</v>
      </c>
      <c r="J267" s="23">
        <v>363.0</v>
      </c>
      <c r="K267" s="21" t="s">
        <v>104</v>
      </c>
    </row>
    <row r="268" ht="21.75" customHeight="1">
      <c r="A268" s="20">
        <v>45796.0</v>
      </c>
      <c r="B268" s="21" t="s">
        <v>896</v>
      </c>
      <c r="C268" s="21" t="s">
        <v>366</v>
      </c>
      <c r="D268" s="21" t="s">
        <v>42</v>
      </c>
      <c r="E268" s="21" t="s">
        <v>640</v>
      </c>
      <c r="F268" s="21" t="s">
        <v>780</v>
      </c>
      <c r="G268" s="22">
        <v>330.0</v>
      </c>
      <c r="H268" s="22" t="s">
        <v>66</v>
      </c>
      <c r="I268" s="23">
        <v>1.89</v>
      </c>
      <c r="J268" s="23">
        <v>623.7</v>
      </c>
      <c r="K268" s="21" t="s">
        <v>104</v>
      </c>
    </row>
    <row r="269" ht="21.75" customHeight="1">
      <c r="A269" s="20">
        <v>45796.0</v>
      </c>
      <c r="B269" s="21" t="s">
        <v>896</v>
      </c>
      <c r="C269" s="21" t="s">
        <v>366</v>
      </c>
      <c r="D269" s="21" t="s">
        <v>42</v>
      </c>
      <c r="E269" s="21" t="s">
        <v>765</v>
      </c>
      <c r="F269" s="21" t="s">
        <v>766</v>
      </c>
      <c r="G269" s="22">
        <v>1.0</v>
      </c>
      <c r="H269" s="22" t="s">
        <v>73</v>
      </c>
      <c r="I269" s="23">
        <v>9.0</v>
      </c>
      <c r="J269" s="23">
        <v>9.0</v>
      </c>
      <c r="K269" s="21" t="s">
        <v>104</v>
      </c>
    </row>
    <row r="270" ht="21.75" customHeight="1">
      <c r="A270" s="20">
        <v>45796.0</v>
      </c>
      <c r="B270" s="21" t="s">
        <v>896</v>
      </c>
      <c r="C270" s="21" t="s">
        <v>366</v>
      </c>
      <c r="D270" s="21" t="s">
        <v>42</v>
      </c>
      <c r="E270" s="21" t="s">
        <v>767</v>
      </c>
      <c r="F270" s="21" t="s">
        <v>768</v>
      </c>
      <c r="G270" s="22">
        <v>1.0</v>
      </c>
      <c r="H270" s="22" t="s">
        <v>73</v>
      </c>
      <c r="I270" s="23">
        <v>11.7</v>
      </c>
      <c r="J270" s="23">
        <v>11.7</v>
      </c>
      <c r="K270" s="21" t="s">
        <v>104</v>
      </c>
    </row>
    <row r="271" ht="21.75" customHeight="1">
      <c r="A271" s="20">
        <v>45796.0</v>
      </c>
      <c r="B271" s="21" t="s">
        <v>896</v>
      </c>
      <c r="C271" s="21" t="s">
        <v>366</v>
      </c>
      <c r="D271" s="21" t="s">
        <v>42</v>
      </c>
      <c r="E271" s="21" t="s">
        <v>367</v>
      </c>
      <c r="F271" s="21" t="s">
        <v>83</v>
      </c>
      <c r="G271" s="22">
        <v>1.0</v>
      </c>
      <c r="H271" s="22" t="s">
        <v>73</v>
      </c>
      <c r="I271" s="23">
        <v>25.0</v>
      </c>
      <c r="J271" s="23">
        <v>25.0</v>
      </c>
      <c r="K271" s="21" t="s">
        <v>104</v>
      </c>
    </row>
    <row r="272" ht="21.75" customHeight="1">
      <c r="A272" s="20">
        <v>45796.0</v>
      </c>
      <c r="B272" s="21" t="s">
        <v>900</v>
      </c>
      <c r="C272" s="21" t="s">
        <v>176</v>
      </c>
      <c r="D272" s="21" t="s">
        <v>175</v>
      </c>
      <c r="E272" s="21" t="s">
        <v>281</v>
      </c>
      <c r="F272" s="21" t="s">
        <v>558</v>
      </c>
      <c r="G272" s="22">
        <v>1.0</v>
      </c>
      <c r="H272" s="22" t="s">
        <v>177</v>
      </c>
      <c r="I272" s="23">
        <v>12.99</v>
      </c>
      <c r="J272" s="23">
        <f t="shared" ref="J272:J274" si="7">G272*I272</f>
        <v>12.99</v>
      </c>
      <c r="K272" s="21" t="s">
        <v>104</v>
      </c>
    </row>
    <row r="273" ht="21.75" customHeight="1">
      <c r="A273" s="20">
        <v>45796.0</v>
      </c>
      <c r="B273" s="21" t="s">
        <v>900</v>
      </c>
      <c r="C273" s="21" t="s">
        <v>176</v>
      </c>
      <c r="D273" s="21" t="s">
        <v>175</v>
      </c>
      <c r="E273" s="21" t="s">
        <v>225</v>
      </c>
      <c r="F273" s="21" t="s">
        <v>563</v>
      </c>
      <c r="G273" s="22">
        <v>1.0</v>
      </c>
      <c r="H273" s="22" t="s">
        <v>177</v>
      </c>
      <c r="I273" s="23">
        <v>70.0</v>
      </c>
      <c r="J273" s="23">
        <f t="shared" si="7"/>
        <v>70</v>
      </c>
      <c r="K273" s="21" t="s">
        <v>104</v>
      </c>
    </row>
    <row r="274" ht="21.75" customHeight="1">
      <c r="A274" s="20">
        <v>45796.0</v>
      </c>
      <c r="B274" s="21" t="s">
        <v>900</v>
      </c>
      <c r="C274" s="21" t="s">
        <v>176</v>
      </c>
      <c r="D274" s="21" t="s">
        <v>175</v>
      </c>
      <c r="E274" s="21" t="s">
        <v>256</v>
      </c>
      <c r="F274" s="21" t="s">
        <v>536</v>
      </c>
      <c r="G274" s="22">
        <v>2.0</v>
      </c>
      <c r="H274" s="22" t="s">
        <v>177</v>
      </c>
      <c r="I274" s="23">
        <v>48.0</v>
      </c>
      <c r="J274" s="23">
        <f t="shared" si="7"/>
        <v>96</v>
      </c>
      <c r="K274" s="21" t="s">
        <v>104</v>
      </c>
    </row>
    <row r="275" ht="21.75" customHeight="1">
      <c r="A275" s="20">
        <v>45806.0</v>
      </c>
      <c r="B275" s="21" t="s">
        <v>906</v>
      </c>
      <c r="C275" s="21" t="s">
        <v>240</v>
      </c>
      <c r="D275" s="21"/>
      <c r="E275" s="21" t="s">
        <v>285</v>
      </c>
      <c r="F275" s="21"/>
      <c r="G275" s="22">
        <v>4.0</v>
      </c>
      <c r="H275" s="22" t="s">
        <v>559</v>
      </c>
      <c r="I275" s="23">
        <v>40.0</v>
      </c>
      <c r="J275" s="23">
        <v>160.0</v>
      </c>
      <c r="K275" s="21" t="s">
        <v>104</v>
      </c>
    </row>
    <row r="276" ht="21.75" customHeight="1">
      <c r="A276" s="20">
        <v>45806.0</v>
      </c>
      <c r="B276" s="21" t="s">
        <v>906</v>
      </c>
      <c r="C276" s="21" t="s">
        <v>240</v>
      </c>
      <c r="D276" s="21"/>
      <c r="E276" s="21" t="s">
        <v>355</v>
      </c>
      <c r="F276" s="21"/>
      <c r="G276" s="22">
        <v>2.0</v>
      </c>
      <c r="H276" s="22" t="s">
        <v>575</v>
      </c>
      <c r="I276" s="23">
        <v>100.0</v>
      </c>
      <c r="J276" s="23">
        <v>200.0</v>
      </c>
      <c r="K276" s="21" t="s">
        <v>104</v>
      </c>
    </row>
    <row r="277" ht="21.75" customHeight="1">
      <c r="A277" s="20">
        <v>45814.0</v>
      </c>
      <c r="B277" s="21" t="s">
        <v>910</v>
      </c>
      <c r="C277" s="21" t="s">
        <v>240</v>
      </c>
      <c r="D277" s="21"/>
      <c r="E277" s="21" t="s">
        <v>587</v>
      </c>
      <c r="F277" s="21" t="s">
        <v>692</v>
      </c>
      <c r="G277" s="22">
        <v>1.0</v>
      </c>
      <c r="H277" s="22" t="s">
        <v>588</v>
      </c>
      <c r="I277" s="23">
        <v>35.0</v>
      </c>
      <c r="J277" s="23">
        <v>35.0</v>
      </c>
      <c r="K277" s="21" t="s">
        <v>104</v>
      </c>
    </row>
    <row r="278" ht="21.75" customHeight="1">
      <c r="A278" s="20">
        <v>45814.0</v>
      </c>
      <c r="B278" s="21" t="s">
        <v>910</v>
      </c>
      <c r="C278" s="21" t="s">
        <v>240</v>
      </c>
      <c r="D278" s="21"/>
      <c r="E278" s="21" t="s">
        <v>549</v>
      </c>
      <c r="F278" s="21" t="s">
        <v>844</v>
      </c>
      <c r="G278" s="22">
        <v>6.0</v>
      </c>
      <c r="H278" s="22" t="s">
        <v>546</v>
      </c>
      <c r="I278" s="23">
        <v>50.0</v>
      </c>
      <c r="J278" s="23">
        <v>300.0</v>
      </c>
      <c r="K278" s="21" t="s">
        <v>104</v>
      </c>
    </row>
    <row r="279" ht="21.75" customHeight="1">
      <c r="A279" s="20">
        <v>45814.0</v>
      </c>
      <c r="B279" s="21" t="s">
        <v>910</v>
      </c>
      <c r="C279" s="21" t="s">
        <v>240</v>
      </c>
      <c r="D279" s="21"/>
      <c r="E279" s="21" t="s">
        <v>545</v>
      </c>
      <c r="F279" s="21" t="s">
        <v>844</v>
      </c>
      <c r="G279" s="22">
        <v>6.0</v>
      </c>
      <c r="H279" s="22" t="s">
        <v>546</v>
      </c>
      <c r="I279" s="23">
        <v>50.0</v>
      </c>
      <c r="J279" s="23">
        <v>300.0</v>
      </c>
      <c r="K279" s="21" t="s">
        <v>104</v>
      </c>
    </row>
    <row r="280" ht="21.75" customHeight="1">
      <c r="A280" s="20">
        <v>45814.0</v>
      </c>
      <c r="B280" s="21" t="s">
        <v>910</v>
      </c>
      <c r="C280" s="21" t="s">
        <v>240</v>
      </c>
      <c r="D280" s="21"/>
      <c r="E280" s="21" t="s">
        <v>695</v>
      </c>
      <c r="F280" s="21" t="s">
        <v>915</v>
      </c>
      <c r="G280" s="22">
        <v>6.0</v>
      </c>
      <c r="H280" s="22" t="s">
        <v>527</v>
      </c>
      <c r="I280" s="23">
        <v>20.0</v>
      </c>
      <c r="J280" s="23">
        <v>120.0</v>
      </c>
      <c r="K280" s="21" t="s">
        <v>104</v>
      </c>
    </row>
    <row r="281" ht="21.75" customHeight="1">
      <c r="A281" s="20">
        <v>45814.0</v>
      </c>
      <c r="B281" s="21" t="s">
        <v>910</v>
      </c>
      <c r="C281" s="21" t="s">
        <v>240</v>
      </c>
      <c r="D281" s="21"/>
      <c r="E281" s="21" t="s">
        <v>696</v>
      </c>
      <c r="F281" s="21" t="s">
        <v>915</v>
      </c>
      <c r="G281" s="22">
        <v>6.0</v>
      </c>
      <c r="H281" s="22" t="s">
        <v>527</v>
      </c>
      <c r="I281" s="23">
        <v>20.0</v>
      </c>
      <c r="J281" s="23">
        <v>120.0</v>
      </c>
      <c r="K281" s="21" t="s">
        <v>104</v>
      </c>
    </row>
    <row r="282" ht="21.75" customHeight="1">
      <c r="A282" s="20">
        <v>45814.0</v>
      </c>
      <c r="B282" s="21" t="s">
        <v>910</v>
      </c>
      <c r="C282" s="21" t="s">
        <v>240</v>
      </c>
      <c r="D282" s="21"/>
      <c r="E282" s="21" t="s">
        <v>241</v>
      </c>
      <c r="F282" s="21" t="s">
        <v>712</v>
      </c>
      <c r="G282" s="22">
        <v>100.0</v>
      </c>
      <c r="H282" s="22" t="s">
        <v>177</v>
      </c>
      <c r="I282" s="23">
        <v>9.0</v>
      </c>
      <c r="J282" s="23">
        <v>900.0</v>
      </c>
      <c r="K282" s="21" t="s">
        <v>104</v>
      </c>
    </row>
    <row r="283" ht="21.75" customHeight="1">
      <c r="A283" s="20">
        <v>45814.0</v>
      </c>
      <c r="B283" s="21" t="s">
        <v>910</v>
      </c>
      <c r="C283" s="21" t="s">
        <v>240</v>
      </c>
      <c r="D283" s="21"/>
      <c r="E283" s="21" t="s">
        <v>569</v>
      </c>
      <c r="F283" s="21" t="s">
        <v>917</v>
      </c>
      <c r="G283" s="22">
        <v>1.0</v>
      </c>
      <c r="H283" s="22" t="s">
        <v>570</v>
      </c>
      <c r="I283" s="23">
        <v>180.0</v>
      </c>
      <c r="J283" s="23">
        <v>180.0</v>
      </c>
      <c r="K283" s="21" t="s">
        <v>104</v>
      </c>
    </row>
    <row r="284" ht="21.75" customHeight="1">
      <c r="A284" s="20">
        <v>45824.0</v>
      </c>
      <c r="B284" s="21" t="s">
        <v>920</v>
      </c>
      <c r="C284" s="21" t="s">
        <v>176</v>
      </c>
      <c r="D284" s="21" t="s">
        <v>175</v>
      </c>
      <c r="E284" s="21" t="s">
        <v>646</v>
      </c>
      <c r="F284" s="21" t="s">
        <v>921</v>
      </c>
      <c r="G284" s="22">
        <v>1.0</v>
      </c>
      <c r="H284" s="22" t="s">
        <v>177</v>
      </c>
      <c r="I284" s="23">
        <v>225.0</v>
      </c>
      <c r="J284" s="23">
        <f>G284*I284</f>
        <v>225</v>
      </c>
      <c r="K284" s="21" t="s">
        <v>104</v>
      </c>
    </row>
    <row r="285" ht="21.75" customHeight="1">
      <c r="A285" s="20">
        <v>45825.0</v>
      </c>
      <c r="B285" s="21" t="s">
        <v>923</v>
      </c>
      <c r="C285" s="21" t="s">
        <v>366</v>
      </c>
      <c r="D285" s="21" t="s">
        <v>42</v>
      </c>
      <c r="E285" s="21" t="s">
        <v>676</v>
      </c>
      <c r="F285" s="21" t="s">
        <v>924</v>
      </c>
      <c r="G285" s="22">
        <v>5.0</v>
      </c>
      <c r="H285" s="22" t="s">
        <v>73</v>
      </c>
      <c r="I285" s="23">
        <v>27.27</v>
      </c>
      <c r="J285" s="23">
        <v>136.35</v>
      </c>
      <c r="K285" s="21" t="s">
        <v>104</v>
      </c>
    </row>
    <row r="286" ht="21.75" customHeight="1">
      <c r="A286" s="20">
        <v>45826.0</v>
      </c>
      <c r="B286" s="21" t="s">
        <v>925</v>
      </c>
      <c r="C286" s="21" t="s">
        <v>240</v>
      </c>
      <c r="D286" s="21"/>
      <c r="E286" s="21" t="s">
        <v>325</v>
      </c>
      <c r="F286" s="21" t="s">
        <v>706</v>
      </c>
      <c r="G286" s="22">
        <v>25.0</v>
      </c>
      <c r="H286" s="22" t="s">
        <v>177</v>
      </c>
      <c r="I286" s="23">
        <v>16.0</v>
      </c>
      <c r="J286" s="23">
        <v>400.0</v>
      </c>
      <c r="K286" s="21" t="s">
        <v>104</v>
      </c>
    </row>
    <row r="287" ht="21.75" customHeight="1">
      <c r="A287" s="20">
        <v>45826.0</v>
      </c>
      <c r="B287" s="21" t="s">
        <v>925</v>
      </c>
      <c r="C287" s="21" t="s">
        <v>240</v>
      </c>
      <c r="D287" s="21"/>
      <c r="E287" s="21" t="s">
        <v>360</v>
      </c>
      <c r="F287" s="21" t="s">
        <v>760</v>
      </c>
      <c r="G287" s="22">
        <v>25.0</v>
      </c>
      <c r="H287" s="22" t="s">
        <v>177</v>
      </c>
      <c r="I287" s="23">
        <v>9.0</v>
      </c>
      <c r="J287" s="23">
        <v>225.0</v>
      </c>
      <c r="K287" s="21" t="s">
        <v>104</v>
      </c>
    </row>
    <row r="288" ht="21.75" customHeight="1">
      <c r="A288" s="20">
        <v>45826.0</v>
      </c>
      <c r="B288" s="21" t="s">
        <v>928</v>
      </c>
      <c r="C288" s="21" t="s">
        <v>240</v>
      </c>
      <c r="D288" s="21"/>
      <c r="E288" s="21" t="s">
        <v>285</v>
      </c>
      <c r="F288" s="21"/>
      <c r="G288" s="22">
        <v>6.0</v>
      </c>
      <c r="H288" s="22" t="s">
        <v>559</v>
      </c>
      <c r="I288" s="23">
        <v>40.0</v>
      </c>
      <c r="J288" s="23">
        <v>240.0</v>
      </c>
      <c r="K288" s="21" t="s">
        <v>104</v>
      </c>
    </row>
    <row r="289" ht="21.75" customHeight="1">
      <c r="A289" s="20">
        <v>45826.0</v>
      </c>
      <c r="B289" s="21" t="s">
        <v>928</v>
      </c>
      <c r="C289" s="21" t="s">
        <v>240</v>
      </c>
      <c r="D289" s="21"/>
      <c r="E289" s="21" t="s">
        <v>325</v>
      </c>
      <c r="F289" s="21" t="s">
        <v>706</v>
      </c>
      <c r="G289" s="22">
        <v>25.0</v>
      </c>
      <c r="H289" s="22" t="s">
        <v>177</v>
      </c>
      <c r="I289" s="23">
        <v>16.0</v>
      </c>
      <c r="J289" s="23">
        <v>400.0</v>
      </c>
      <c r="K289" s="21" t="s">
        <v>104</v>
      </c>
    </row>
    <row r="290" ht="21.75" customHeight="1">
      <c r="A290" s="20">
        <v>45826.0</v>
      </c>
      <c r="B290" s="21" t="s">
        <v>928</v>
      </c>
      <c r="C290" s="21" t="s">
        <v>240</v>
      </c>
      <c r="D290" s="21"/>
      <c r="E290" s="21" t="s">
        <v>360</v>
      </c>
      <c r="F290" s="21" t="s">
        <v>760</v>
      </c>
      <c r="G290" s="22">
        <v>25.0</v>
      </c>
      <c r="H290" s="22" t="s">
        <v>177</v>
      </c>
      <c r="I290" s="23">
        <v>9.0</v>
      </c>
      <c r="J290" s="23">
        <v>225.0</v>
      </c>
      <c r="K290" s="21" t="s">
        <v>104</v>
      </c>
    </row>
    <row r="291" ht="21.75" customHeight="1">
      <c r="A291" s="20">
        <v>45826.0</v>
      </c>
      <c r="B291" s="21" t="s">
        <v>928</v>
      </c>
      <c r="C291" s="21" t="s">
        <v>240</v>
      </c>
      <c r="D291" s="21"/>
      <c r="E291" s="21" t="s">
        <v>241</v>
      </c>
      <c r="F291" s="21" t="s">
        <v>712</v>
      </c>
      <c r="G291" s="22">
        <v>7.0</v>
      </c>
      <c r="H291" s="22" t="s">
        <v>177</v>
      </c>
      <c r="I291" s="23">
        <v>9.0</v>
      </c>
      <c r="J291" s="23">
        <v>63.0</v>
      </c>
      <c r="K291" s="21" t="s">
        <v>104</v>
      </c>
    </row>
    <row r="292" ht="21.75" customHeight="1">
      <c r="A292" s="20">
        <v>45826.0</v>
      </c>
      <c r="B292" s="21" t="s">
        <v>928</v>
      </c>
      <c r="C292" s="21" t="s">
        <v>240</v>
      </c>
      <c r="D292" s="21"/>
      <c r="E292" s="21" t="s">
        <v>587</v>
      </c>
      <c r="F292" s="21" t="s">
        <v>692</v>
      </c>
      <c r="G292" s="22">
        <v>1.0</v>
      </c>
      <c r="H292" s="22" t="s">
        <v>588</v>
      </c>
      <c r="I292" s="23">
        <v>45.0</v>
      </c>
      <c r="J292" s="23">
        <v>45.0</v>
      </c>
      <c r="K292" s="21" t="s">
        <v>104</v>
      </c>
    </row>
    <row r="293" ht="21.75" customHeight="1">
      <c r="A293" s="20">
        <v>45826.0</v>
      </c>
      <c r="B293" s="21" t="s">
        <v>928</v>
      </c>
      <c r="C293" s="21" t="s">
        <v>240</v>
      </c>
      <c r="D293" s="21"/>
      <c r="E293" s="21" t="s">
        <v>939</v>
      </c>
      <c r="F293" s="21"/>
      <c r="G293" s="22">
        <v>1.0</v>
      </c>
      <c r="H293" s="22" t="s">
        <v>95</v>
      </c>
      <c r="I293" s="23">
        <v>100.0</v>
      </c>
      <c r="J293" s="23">
        <v>100.0</v>
      </c>
      <c r="K293" s="21" t="s">
        <v>104</v>
      </c>
    </row>
    <row r="294" ht="21.75" customHeight="1">
      <c r="A294" s="20">
        <v>45826.0</v>
      </c>
      <c r="B294" s="21" t="s">
        <v>928</v>
      </c>
      <c r="C294" s="21" t="s">
        <v>240</v>
      </c>
      <c r="D294" s="21"/>
      <c r="E294" s="21" t="s">
        <v>941</v>
      </c>
      <c r="F294" s="21" t="s">
        <v>889</v>
      </c>
      <c r="G294" s="22">
        <v>4.0</v>
      </c>
      <c r="H294" s="22" t="s">
        <v>542</v>
      </c>
      <c r="I294" s="23">
        <v>25.0</v>
      </c>
      <c r="J294" s="23">
        <v>100.0</v>
      </c>
      <c r="K294" s="21" t="s">
        <v>104</v>
      </c>
    </row>
    <row r="295" ht="21.75" customHeight="1">
      <c r="A295" s="20">
        <v>45832.0</v>
      </c>
      <c r="B295" s="21" t="s">
        <v>944</v>
      </c>
      <c r="C295" s="21" t="s">
        <v>240</v>
      </c>
      <c r="D295" s="21"/>
      <c r="E295" s="21" t="s">
        <v>241</v>
      </c>
      <c r="F295" s="21" t="s">
        <v>712</v>
      </c>
      <c r="G295" s="22">
        <v>66.0</v>
      </c>
      <c r="H295" s="22" t="s">
        <v>177</v>
      </c>
      <c r="I295" s="23">
        <v>9.0</v>
      </c>
      <c r="J295" s="23">
        <v>594.0</v>
      </c>
      <c r="K295" s="21" t="s">
        <v>104</v>
      </c>
    </row>
    <row r="296" ht="21.75" customHeight="1">
      <c r="A296" s="20">
        <v>45838.0</v>
      </c>
      <c r="B296" s="21" t="s">
        <v>946</v>
      </c>
      <c r="C296" s="21" t="s">
        <v>71</v>
      </c>
      <c r="D296" s="21" t="s">
        <v>42</v>
      </c>
      <c r="E296" s="21" t="s">
        <v>343</v>
      </c>
      <c r="F296" s="21" t="s">
        <v>395</v>
      </c>
      <c r="G296" s="22">
        <v>3.0</v>
      </c>
      <c r="H296" s="22" t="s">
        <v>66</v>
      </c>
      <c r="I296" s="23">
        <v>8.64</v>
      </c>
      <c r="J296" s="23">
        <v>1296.0</v>
      </c>
      <c r="K296" s="21" t="s">
        <v>104</v>
      </c>
    </row>
    <row r="297" ht="21.75" customHeight="1">
      <c r="A297" s="20">
        <v>45838.0</v>
      </c>
      <c r="B297" s="21" t="s">
        <v>946</v>
      </c>
      <c r="C297" s="21" t="s">
        <v>71</v>
      </c>
      <c r="D297" s="21" t="s">
        <v>42</v>
      </c>
      <c r="E297" s="21" t="s">
        <v>507</v>
      </c>
      <c r="F297" s="21" t="s">
        <v>719</v>
      </c>
      <c r="G297" s="22">
        <v>2.0</v>
      </c>
      <c r="H297" s="22" t="s">
        <v>66</v>
      </c>
      <c r="I297" s="23">
        <v>8.32</v>
      </c>
      <c r="J297" s="23">
        <v>832.0</v>
      </c>
      <c r="K297" s="21" t="s">
        <v>104</v>
      </c>
    </row>
    <row r="298" ht="21.75" customHeight="1">
      <c r="A298" s="20">
        <v>45838.0</v>
      </c>
      <c r="B298" s="21" t="s">
        <v>946</v>
      </c>
      <c r="C298" s="21" t="s">
        <v>71</v>
      </c>
      <c r="D298" s="21" t="s">
        <v>42</v>
      </c>
      <c r="E298" s="21" t="s">
        <v>204</v>
      </c>
      <c r="F298" s="21" t="s">
        <v>337</v>
      </c>
      <c r="G298" s="22">
        <v>5.0</v>
      </c>
      <c r="H298" s="22" t="s">
        <v>66</v>
      </c>
      <c r="I298" s="23">
        <v>9.45</v>
      </c>
      <c r="J298" s="23">
        <v>2362.5</v>
      </c>
      <c r="K298" s="21" t="s">
        <v>104</v>
      </c>
    </row>
    <row r="299" ht="21.75" customHeight="1">
      <c r="A299" s="20">
        <v>45859.0</v>
      </c>
      <c r="B299" s="21" t="s">
        <v>950</v>
      </c>
      <c r="C299" s="21" t="s">
        <v>176</v>
      </c>
      <c r="D299" s="21" t="s">
        <v>175</v>
      </c>
      <c r="E299" s="21" t="s">
        <v>321</v>
      </c>
      <c r="F299" s="21" t="s">
        <v>652</v>
      </c>
      <c r="G299" s="22">
        <v>2.0</v>
      </c>
      <c r="H299" s="22" t="s">
        <v>177</v>
      </c>
      <c r="I299" s="23">
        <v>24.0</v>
      </c>
      <c r="J299" s="23">
        <f t="shared" ref="J299:J300" si="8">G299*I299</f>
        <v>48</v>
      </c>
      <c r="K299" s="21" t="s">
        <v>104</v>
      </c>
    </row>
    <row r="300" ht="21.75" customHeight="1">
      <c r="A300" s="20">
        <v>45859.0</v>
      </c>
      <c r="B300" s="21" t="s">
        <v>950</v>
      </c>
      <c r="C300" s="21" t="s">
        <v>176</v>
      </c>
      <c r="D300" s="21" t="s">
        <v>175</v>
      </c>
      <c r="E300" s="21" t="s">
        <v>225</v>
      </c>
      <c r="F300" s="21" t="s">
        <v>563</v>
      </c>
      <c r="G300" s="22">
        <v>1.0</v>
      </c>
      <c r="H300" s="22" t="s">
        <v>177</v>
      </c>
      <c r="I300" s="23">
        <v>70.0</v>
      </c>
      <c r="J300" s="23">
        <f t="shared" si="8"/>
        <v>70</v>
      </c>
      <c r="K300" s="21" t="s">
        <v>104</v>
      </c>
    </row>
    <row r="301" ht="21.75" customHeight="1">
      <c r="A301" s="20">
        <v>45860.0</v>
      </c>
      <c r="B301" s="21" t="s">
        <v>956</v>
      </c>
      <c r="C301" s="21" t="s">
        <v>240</v>
      </c>
      <c r="D301" s="21"/>
      <c r="E301" s="21" t="s">
        <v>591</v>
      </c>
      <c r="F301" s="21" t="s">
        <v>844</v>
      </c>
      <c r="G301" s="22">
        <v>1.0</v>
      </c>
      <c r="H301" s="22" t="s">
        <v>562</v>
      </c>
      <c r="I301" s="23">
        <v>45.0</v>
      </c>
      <c r="J301" s="23">
        <v>45.0</v>
      </c>
      <c r="K301" s="21" t="s">
        <v>104</v>
      </c>
    </row>
    <row r="302" ht="21.75" customHeight="1">
      <c r="A302" s="20">
        <v>45860.0</v>
      </c>
      <c r="B302" s="21" t="s">
        <v>956</v>
      </c>
      <c r="C302" s="21" t="s">
        <v>240</v>
      </c>
      <c r="D302" s="21"/>
      <c r="E302" s="21" t="s">
        <v>241</v>
      </c>
      <c r="F302" s="21" t="s">
        <v>712</v>
      </c>
      <c r="G302" s="22">
        <v>100.0</v>
      </c>
      <c r="H302" s="22" t="s">
        <v>177</v>
      </c>
      <c r="I302" s="23">
        <v>9.0</v>
      </c>
      <c r="J302" s="23">
        <v>900.0</v>
      </c>
      <c r="K302" s="21" t="s">
        <v>104</v>
      </c>
    </row>
    <row r="303" ht="21.75" customHeight="1">
      <c r="A303" s="20">
        <v>45860.0</v>
      </c>
      <c r="B303" s="21" t="s">
        <v>956</v>
      </c>
      <c r="C303" s="21" t="s">
        <v>240</v>
      </c>
      <c r="D303" s="21"/>
      <c r="E303" s="21" t="s">
        <v>325</v>
      </c>
      <c r="F303" s="21" t="s">
        <v>706</v>
      </c>
      <c r="G303" s="22">
        <v>25.0</v>
      </c>
      <c r="H303" s="22" t="s">
        <v>177</v>
      </c>
      <c r="I303" s="23">
        <v>16.0</v>
      </c>
      <c r="J303" s="23">
        <v>400.0</v>
      </c>
      <c r="K303" s="21" t="s">
        <v>104</v>
      </c>
    </row>
    <row r="304" ht="21.75" customHeight="1">
      <c r="A304" s="20">
        <v>45860.0</v>
      </c>
      <c r="B304" s="21" t="s">
        <v>956</v>
      </c>
      <c r="C304" s="21" t="s">
        <v>240</v>
      </c>
      <c r="D304" s="21"/>
      <c r="E304" s="21" t="s">
        <v>360</v>
      </c>
      <c r="F304" s="21" t="s">
        <v>760</v>
      </c>
      <c r="G304" s="22">
        <v>25.0</v>
      </c>
      <c r="H304" s="22" t="s">
        <v>177</v>
      </c>
      <c r="I304" s="23">
        <v>9.0</v>
      </c>
      <c r="J304" s="23">
        <v>225.0</v>
      </c>
      <c r="K304" s="21" t="s">
        <v>104</v>
      </c>
    </row>
    <row r="305" ht="21.75" customHeight="1">
      <c r="A305" s="20">
        <v>45860.0</v>
      </c>
      <c r="B305" s="21" t="s">
        <v>956</v>
      </c>
      <c r="C305" s="21" t="s">
        <v>240</v>
      </c>
      <c r="D305" s="21"/>
      <c r="E305" s="21" t="s">
        <v>355</v>
      </c>
      <c r="F305" s="21"/>
      <c r="G305" s="22">
        <v>1.0</v>
      </c>
      <c r="H305" s="22" t="s">
        <v>575</v>
      </c>
      <c r="I305" s="23">
        <v>100.0</v>
      </c>
      <c r="J305" s="23">
        <v>100.0</v>
      </c>
      <c r="K305" s="21" t="s">
        <v>104</v>
      </c>
    </row>
    <row r="306" ht="21.75" customHeight="1">
      <c r="A306" s="20">
        <v>45860.0</v>
      </c>
      <c r="B306" s="21" t="s">
        <v>956</v>
      </c>
      <c r="C306" s="21" t="s">
        <v>240</v>
      </c>
      <c r="D306" s="21"/>
      <c r="E306" s="21" t="s">
        <v>569</v>
      </c>
      <c r="F306" s="21" t="s">
        <v>917</v>
      </c>
      <c r="G306" s="22">
        <v>2.0</v>
      </c>
      <c r="H306" s="22" t="s">
        <v>570</v>
      </c>
      <c r="I306" s="23">
        <v>140.0</v>
      </c>
      <c r="J306" s="23">
        <v>280.0</v>
      </c>
      <c r="K306" s="21" t="s">
        <v>104</v>
      </c>
    </row>
    <row r="307" ht="21.75" customHeight="1">
      <c r="A307" s="20">
        <v>45860.0</v>
      </c>
      <c r="B307" s="21" t="s">
        <v>956</v>
      </c>
      <c r="C307" s="21" t="s">
        <v>240</v>
      </c>
      <c r="D307" s="21"/>
      <c r="E307" s="21" t="s">
        <v>699</v>
      </c>
      <c r="F307" s="21" t="s">
        <v>889</v>
      </c>
      <c r="G307" s="22">
        <v>4.0</v>
      </c>
      <c r="H307" s="22" t="s">
        <v>542</v>
      </c>
      <c r="I307" s="23">
        <v>30.0</v>
      </c>
      <c r="J307" s="23">
        <v>120.0</v>
      </c>
      <c r="K307" s="21" t="s">
        <v>104</v>
      </c>
    </row>
    <row r="308" ht="21.75" customHeight="1">
      <c r="A308" s="20">
        <v>45862.0</v>
      </c>
      <c r="B308" s="21" t="s">
        <v>966</v>
      </c>
      <c r="C308" s="21" t="s">
        <v>240</v>
      </c>
      <c r="D308" s="21"/>
      <c r="E308" s="21" t="s">
        <v>285</v>
      </c>
      <c r="F308" s="21"/>
      <c r="G308" s="22">
        <v>5.0</v>
      </c>
      <c r="H308" s="22" t="s">
        <v>559</v>
      </c>
      <c r="I308" s="23">
        <v>40.0</v>
      </c>
      <c r="J308" s="23">
        <v>200.0</v>
      </c>
      <c r="K308" s="21" t="s">
        <v>104</v>
      </c>
    </row>
    <row r="309" ht="21.75" customHeight="1">
      <c r="A309" s="20">
        <v>45862.0</v>
      </c>
      <c r="B309" s="21" t="s">
        <v>966</v>
      </c>
      <c r="C309" s="21" t="s">
        <v>240</v>
      </c>
      <c r="D309" s="21"/>
      <c r="E309" s="21" t="s">
        <v>599</v>
      </c>
      <c r="F309" s="21" t="s">
        <v>880</v>
      </c>
      <c r="G309" s="22">
        <v>2.0</v>
      </c>
      <c r="H309" s="22" t="s">
        <v>600</v>
      </c>
      <c r="I309" s="23">
        <v>54.0</v>
      </c>
      <c r="J309" s="23">
        <v>108.0</v>
      </c>
      <c r="K309" s="21" t="s">
        <v>104</v>
      </c>
    </row>
    <row r="310" ht="21.75" customHeight="1">
      <c r="A310" s="20">
        <v>45863.0</v>
      </c>
      <c r="B310" s="21" t="s">
        <v>969</v>
      </c>
      <c r="C310" s="21" t="s">
        <v>240</v>
      </c>
      <c r="D310" s="21"/>
      <c r="E310" s="21" t="s">
        <v>540</v>
      </c>
      <c r="F310" s="21" t="s">
        <v>889</v>
      </c>
      <c r="G310" s="22">
        <v>4.0</v>
      </c>
      <c r="H310" s="22" t="s">
        <v>542</v>
      </c>
      <c r="I310" s="23">
        <v>30.0</v>
      </c>
      <c r="J310" s="23">
        <v>120.0</v>
      </c>
      <c r="K310" s="21" t="s">
        <v>104</v>
      </c>
    </row>
    <row r="311" ht="21.75" customHeight="1">
      <c r="A311" s="20">
        <v>45863.0</v>
      </c>
      <c r="B311" s="21" t="s">
        <v>969</v>
      </c>
      <c r="C311" s="21" t="s">
        <v>240</v>
      </c>
      <c r="D311" s="21"/>
      <c r="E311" s="21" t="s">
        <v>689</v>
      </c>
      <c r="F311" s="21"/>
      <c r="G311" s="22">
        <v>1.0</v>
      </c>
      <c r="H311" s="22" t="s">
        <v>700</v>
      </c>
      <c r="I311" s="23">
        <v>125.0</v>
      </c>
      <c r="J311" s="23">
        <v>125.0</v>
      </c>
      <c r="K311" s="21" t="s">
        <v>104</v>
      </c>
    </row>
    <row r="312" ht="21.75" customHeight="1">
      <c r="A312" s="20">
        <v>45869.0</v>
      </c>
      <c r="B312" s="21" t="s">
        <v>972</v>
      </c>
      <c r="C312" s="21" t="s">
        <v>176</v>
      </c>
      <c r="D312" s="21" t="s">
        <v>175</v>
      </c>
      <c r="E312" s="21" t="s">
        <v>220</v>
      </c>
      <c r="F312" s="21" t="s">
        <v>513</v>
      </c>
      <c r="G312" s="22">
        <v>2.0</v>
      </c>
      <c r="H312" s="22" t="s">
        <v>177</v>
      </c>
      <c r="I312" s="23">
        <v>275.0</v>
      </c>
      <c r="J312" s="23">
        <f t="shared" ref="J312:J317" si="9">G312*I312</f>
        <v>550</v>
      </c>
      <c r="K312" s="21" t="s">
        <v>104</v>
      </c>
    </row>
    <row r="313" ht="21.75" customHeight="1">
      <c r="A313" s="20">
        <v>45874.0</v>
      </c>
      <c r="B313" s="21" t="s">
        <v>973</v>
      </c>
      <c r="C313" s="21" t="s">
        <v>176</v>
      </c>
      <c r="D313" s="21" t="s">
        <v>175</v>
      </c>
      <c r="E313" s="21" t="s">
        <v>213</v>
      </c>
      <c r="F313" s="21" t="s">
        <v>862</v>
      </c>
      <c r="G313" s="22">
        <v>3.0</v>
      </c>
      <c r="H313" s="22" t="s">
        <v>177</v>
      </c>
      <c r="I313" s="23">
        <v>19.95</v>
      </c>
      <c r="J313" s="23">
        <f t="shared" si="9"/>
        <v>59.85</v>
      </c>
      <c r="K313" s="21" t="s">
        <v>104</v>
      </c>
    </row>
    <row r="314" ht="21.75" customHeight="1">
      <c r="A314" s="20">
        <v>45874.0</v>
      </c>
      <c r="B314" s="21" t="s">
        <v>973</v>
      </c>
      <c r="C314" s="21" t="s">
        <v>176</v>
      </c>
      <c r="D314" s="21" t="s">
        <v>175</v>
      </c>
      <c r="E314" s="21" t="s">
        <v>974</v>
      </c>
      <c r="F314" s="21" t="s">
        <v>975</v>
      </c>
      <c r="G314" s="22">
        <v>3.0</v>
      </c>
      <c r="H314" s="22" t="s">
        <v>177</v>
      </c>
      <c r="I314" s="23">
        <v>19.95</v>
      </c>
      <c r="J314" s="23">
        <f t="shared" si="9"/>
        <v>59.85</v>
      </c>
      <c r="K314" s="21" t="s">
        <v>104</v>
      </c>
    </row>
    <row r="315" ht="21.75" customHeight="1">
      <c r="A315" s="20">
        <v>45874.0</v>
      </c>
      <c r="B315" s="21" t="s">
        <v>973</v>
      </c>
      <c r="C315" s="21" t="s">
        <v>176</v>
      </c>
      <c r="D315" s="21" t="s">
        <v>175</v>
      </c>
      <c r="E315" s="21" t="s">
        <v>976</v>
      </c>
      <c r="F315" s="21" t="s">
        <v>977</v>
      </c>
      <c r="G315" s="22">
        <v>3.0</v>
      </c>
      <c r="H315" s="22" t="s">
        <v>177</v>
      </c>
      <c r="I315" s="23">
        <v>19.95</v>
      </c>
      <c r="J315" s="23">
        <f t="shared" si="9"/>
        <v>59.85</v>
      </c>
      <c r="K315" s="21" t="s">
        <v>104</v>
      </c>
    </row>
    <row r="316" ht="21.75" customHeight="1">
      <c r="A316" s="20">
        <v>45874.0</v>
      </c>
      <c r="B316" s="21" t="s">
        <v>973</v>
      </c>
      <c r="C316" s="21" t="s">
        <v>176</v>
      </c>
      <c r="D316" s="21" t="s">
        <v>175</v>
      </c>
      <c r="E316" s="21" t="s">
        <v>953</v>
      </c>
      <c r="F316" s="21" t="s">
        <v>978</v>
      </c>
      <c r="G316" s="22">
        <v>2.0</v>
      </c>
      <c r="H316" s="22" t="s">
        <v>177</v>
      </c>
      <c r="I316" s="23">
        <v>16.99</v>
      </c>
      <c r="J316" s="23">
        <f t="shared" si="9"/>
        <v>33.98</v>
      </c>
      <c r="K316" s="21" t="s">
        <v>104</v>
      </c>
    </row>
    <row r="317" ht="21.75" customHeight="1">
      <c r="A317" s="20">
        <v>45874.0</v>
      </c>
      <c r="B317" s="21" t="s">
        <v>973</v>
      </c>
      <c r="C317" s="21" t="s">
        <v>176</v>
      </c>
      <c r="D317" s="21" t="s">
        <v>175</v>
      </c>
      <c r="E317" s="21" t="s">
        <v>304</v>
      </c>
      <c r="F317" s="21" t="s">
        <v>518</v>
      </c>
      <c r="G317" s="22">
        <v>1.0</v>
      </c>
      <c r="H317" s="22" t="s">
        <v>177</v>
      </c>
      <c r="I317" s="23">
        <v>26.6</v>
      </c>
      <c r="J317" s="23">
        <f t="shared" si="9"/>
        <v>26.6</v>
      </c>
      <c r="K317" s="21" t="s">
        <v>104</v>
      </c>
    </row>
    <row r="318" ht="21.75" customHeight="1">
      <c r="A318" s="20">
        <v>45875.0</v>
      </c>
      <c r="B318" s="21" t="s">
        <v>980</v>
      </c>
      <c r="C318" s="21" t="s">
        <v>240</v>
      </c>
      <c r="D318" s="21"/>
      <c r="E318" s="21" t="s">
        <v>526</v>
      </c>
      <c r="F318" s="21" t="s">
        <v>692</v>
      </c>
      <c r="G318" s="22">
        <v>1.0</v>
      </c>
      <c r="H318" s="22" t="s">
        <v>527</v>
      </c>
      <c r="I318" s="23">
        <v>35.0</v>
      </c>
      <c r="J318" s="23">
        <v>35.0</v>
      </c>
      <c r="K318" s="21" t="s">
        <v>104</v>
      </c>
    </row>
    <row r="319" ht="21.75" customHeight="1">
      <c r="A319" s="20">
        <v>45875.0</v>
      </c>
      <c r="B319" s="21" t="s">
        <v>980</v>
      </c>
      <c r="C319" s="21" t="s">
        <v>240</v>
      </c>
      <c r="D319" s="21"/>
      <c r="E319" s="21" t="s">
        <v>553</v>
      </c>
      <c r="F319" s="21" t="s">
        <v>692</v>
      </c>
      <c r="G319" s="22">
        <v>1.0</v>
      </c>
      <c r="H319" s="22" t="s">
        <v>527</v>
      </c>
      <c r="I319" s="23">
        <v>35.0</v>
      </c>
      <c r="J319" s="23">
        <v>35.0</v>
      </c>
      <c r="K319" s="21" t="s">
        <v>104</v>
      </c>
    </row>
    <row r="320" ht="21.75" customHeight="1">
      <c r="A320" s="20">
        <v>45875.0</v>
      </c>
      <c r="B320" s="21" t="s">
        <v>980</v>
      </c>
      <c r="C320" s="21" t="s">
        <v>240</v>
      </c>
      <c r="D320" s="21"/>
      <c r="E320" s="21" t="s">
        <v>540</v>
      </c>
      <c r="F320" s="21" t="s">
        <v>889</v>
      </c>
      <c r="G320" s="22">
        <v>11.0</v>
      </c>
      <c r="H320" s="22" t="s">
        <v>542</v>
      </c>
      <c r="I320" s="23">
        <v>30.0</v>
      </c>
      <c r="J320" s="23">
        <v>330.0</v>
      </c>
      <c r="K320" s="21" t="s">
        <v>104</v>
      </c>
    </row>
    <row r="321" ht="21.75" customHeight="1">
      <c r="A321" s="20">
        <v>45875.0</v>
      </c>
      <c r="B321" s="21" t="s">
        <v>980</v>
      </c>
      <c r="C321" s="21" t="s">
        <v>240</v>
      </c>
      <c r="D321" s="21"/>
      <c r="E321" s="21" t="s">
        <v>620</v>
      </c>
      <c r="F321" s="21" t="s">
        <v>880</v>
      </c>
      <c r="G321" s="22">
        <v>1.0</v>
      </c>
      <c r="H321" s="22" t="s">
        <v>981</v>
      </c>
      <c r="I321" s="23">
        <v>375.0</v>
      </c>
      <c r="J321" s="23">
        <v>375.0</v>
      </c>
      <c r="K321" s="21" t="s">
        <v>104</v>
      </c>
    </row>
    <row r="322" ht="21.75" customHeight="1">
      <c r="A322" s="20">
        <v>45880.0</v>
      </c>
      <c r="B322" s="21" t="s">
        <v>982</v>
      </c>
      <c r="C322" s="21" t="s">
        <v>71</v>
      </c>
      <c r="D322" s="21" t="s">
        <v>42</v>
      </c>
      <c r="E322" s="21" t="s">
        <v>204</v>
      </c>
      <c r="F322" s="21" t="s">
        <v>337</v>
      </c>
      <c r="G322" s="22">
        <v>5.0</v>
      </c>
      <c r="H322" s="22" t="s">
        <v>66</v>
      </c>
      <c r="I322" s="23">
        <v>9.45</v>
      </c>
      <c r="J322" s="23">
        <v>2362.5</v>
      </c>
      <c r="K322" s="21" t="s">
        <v>104</v>
      </c>
    </row>
    <row r="323" ht="21.75" customHeight="1">
      <c r="A323" s="20">
        <v>45881.0</v>
      </c>
      <c r="B323" s="21" t="s">
        <v>983</v>
      </c>
      <c r="C323" s="21" t="s">
        <v>240</v>
      </c>
      <c r="D323" s="21"/>
      <c r="E323" s="21" t="s">
        <v>526</v>
      </c>
      <c r="F323" s="21" t="s">
        <v>692</v>
      </c>
      <c r="G323" s="22">
        <v>2.0</v>
      </c>
      <c r="H323" s="22" t="s">
        <v>527</v>
      </c>
      <c r="I323" s="23">
        <v>35.0</v>
      </c>
      <c r="J323" s="23">
        <v>70.0</v>
      </c>
      <c r="K323" s="21" t="s">
        <v>104</v>
      </c>
    </row>
    <row r="324" ht="21.75" customHeight="1">
      <c r="A324" s="20">
        <v>45881.0</v>
      </c>
      <c r="B324" s="21" t="s">
        <v>983</v>
      </c>
      <c r="C324" s="21" t="s">
        <v>240</v>
      </c>
      <c r="D324" s="21"/>
      <c r="E324" s="21" t="s">
        <v>553</v>
      </c>
      <c r="F324" s="21" t="s">
        <v>692</v>
      </c>
      <c r="G324" s="22">
        <v>1.0</v>
      </c>
      <c r="H324" s="22" t="s">
        <v>527</v>
      </c>
      <c r="I324" s="23">
        <v>35.0</v>
      </c>
      <c r="J324" s="23">
        <v>35.0</v>
      </c>
      <c r="K324" s="21" t="s">
        <v>104</v>
      </c>
    </row>
    <row r="325" ht="21.75" customHeight="1">
      <c r="A325" s="20">
        <v>45883.0</v>
      </c>
      <c r="B325" s="21" t="s">
        <v>984</v>
      </c>
      <c r="C325" s="21" t="s">
        <v>240</v>
      </c>
      <c r="D325" s="21"/>
      <c r="E325" s="21" t="s">
        <v>241</v>
      </c>
      <c r="F325" s="21" t="s">
        <v>712</v>
      </c>
      <c r="G325" s="22">
        <v>100.0</v>
      </c>
      <c r="H325" s="22" t="s">
        <v>177</v>
      </c>
      <c r="I325" s="23">
        <v>9.0</v>
      </c>
      <c r="J325" s="23">
        <v>900.0</v>
      </c>
      <c r="K325" s="21" t="s">
        <v>104</v>
      </c>
    </row>
    <row r="326" ht="21.75" customHeight="1">
      <c r="A326" s="20">
        <v>45883.0</v>
      </c>
      <c r="B326" s="21" t="s">
        <v>984</v>
      </c>
      <c r="C326" s="21" t="s">
        <v>240</v>
      </c>
      <c r="D326" s="21"/>
      <c r="E326" s="21" t="s">
        <v>325</v>
      </c>
      <c r="F326" s="21" t="s">
        <v>706</v>
      </c>
      <c r="G326" s="22">
        <v>50.0</v>
      </c>
      <c r="H326" s="22" t="s">
        <v>177</v>
      </c>
      <c r="I326" s="23">
        <v>16.0</v>
      </c>
      <c r="J326" s="23">
        <v>800.0</v>
      </c>
      <c r="K326" s="21" t="s">
        <v>104</v>
      </c>
    </row>
    <row r="327" ht="21.75" customHeight="1">
      <c r="A327" s="20">
        <v>45883.0</v>
      </c>
      <c r="B327" s="21" t="s">
        <v>984</v>
      </c>
      <c r="C327" s="21" t="s">
        <v>240</v>
      </c>
      <c r="D327" s="21"/>
      <c r="E327" s="21" t="s">
        <v>360</v>
      </c>
      <c r="F327" s="21" t="s">
        <v>760</v>
      </c>
      <c r="G327" s="22">
        <v>50.0</v>
      </c>
      <c r="H327" s="22" t="s">
        <v>177</v>
      </c>
      <c r="I327" s="23">
        <v>9.0</v>
      </c>
      <c r="J327" s="23">
        <v>450.0</v>
      </c>
      <c r="K327" s="21" t="s">
        <v>104</v>
      </c>
    </row>
    <row r="328" ht="21.75" customHeight="1">
      <c r="A328" s="20">
        <v>45883.0</v>
      </c>
      <c r="B328" s="21" t="s">
        <v>984</v>
      </c>
      <c r="C328" s="21" t="s">
        <v>240</v>
      </c>
      <c r="D328" s="21"/>
      <c r="E328" s="21" t="s">
        <v>986</v>
      </c>
      <c r="F328" s="21" t="s">
        <v>880</v>
      </c>
      <c r="G328" s="22">
        <v>1.0</v>
      </c>
      <c r="H328" s="22" t="s">
        <v>987</v>
      </c>
      <c r="I328" s="23">
        <v>54.0</v>
      </c>
      <c r="J328" s="23">
        <v>54.0</v>
      </c>
      <c r="K328" s="21" t="s">
        <v>104</v>
      </c>
    </row>
    <row r="329" ht="21.75" customHeight="1">
      <c r="A329" s="20">
        <v>45883.0</v>
      </c>
      <c r="B329" s="21" t="s">
        <v>988</v>
      </c>
      <c r="C329" s="21" t="s">
        <v>157</v>
      </c>
      <c r="D329" s="21" t="s">
        <v>989</v>
      </c>
      <c r="E329" s="21" t="s">
        <v>990</v>
      </c>
      <c r="F329" s="21"/>
      <c r="G329" s="22">
        <v>3.0</v>
      </c>
      <c r="H329" s="22" t="s">
        <v>239</v>
      </c>
      <c r="I329" s="21">
        <v>9.99</v>
      </c>
      <c r="J329" s="21">
        <v>29.97</v>
      </c>
      <c r="K329" s="21" t="s">
        <v>104</v>
      </c>
    </row>
    <row r="330" ht="21.75" customHeight="1">
      <c r="A330" s="20">
        <v>45883.0</v>
      </c>
      <c r="B330" s="21" t="s">
        <v>991</v>
      </c>
      <c r="C330" s="21" t="s">
        <v>157</v>
      </c>
      <c r="D330" s="21" t="s">
        <v>271</v>
      </c>
      <c r="E330" s="21" t="s">
        <v>992</v>
      </c>
      <c r="F330" s="21"/>
      <c r="G330" s="22">
        <v>1.0</v>
      </c>
      <c r="H330" s="22" t="s">
        <v>239</v>
      </c>
      <c r="I330" s="21">
        <v>14.22</v>
      </c>
      <c r="J330" s="21">
        <v>14.22</v>
      </c>
      <c r="K330" s="21" t="s">
        <v>104</v>
      </c>
    </row>
    <row r="331" ht="21.75" customHeight="1">
      <c r="A331" s="20">
        <v>45883.0</v>
      </c>
      <c r="B331" s="21" t="s">
        <v>991</v>
      </c>
      <c r="C331" s="21" t="s">
        <v>157</v>
      </c>
      <c r="D331" s="21" t="s">
        <v>42</v>
      </c>
      <c r="E331" s="21" t="s">
        <v>994</v>
      </c>
      <c r="F331" s="21"/>
      <c r="G331" s="22">
        <v>2.0</v>
      </c>
      <c r="H331" s="22" t="s">
        <v>239</v>
      </c>
      <c r="I331" s="21">
        <v>16.99</v>
      </c>
      <c r="J331" s="21">
        <v>33.98</v>
      </c>
      <c r="K331" s="21" t="s">
        <v>104</v>
      </c>
    </row>
    <row r="332" ht="21.75" customHeight="1">
      <c r="A332" s="20">
        <v>45883.0</v>
      </c>
      <c r="B332" s="21" t="s">
        <v>991</v>
      </c>
      <c r="C332" s="21" t="s">
        <v>157</v>
      </c>
      <c r="D332" s="21" t="s">
        <v>226</v>
      </c>
      <c r="E332" s="21" t="s">
        <v>995</v>
      </c>
      <c r="F332" s="21"/>
      <c r="G332" s="22">
        <v>5.0</v>
      </c>
      <c r="H332" s="22" t="s">
        <v>239</v>
      </c>
      <c r="I332" s="21">
        <v>8.5</v>
      </c>
      <c r="J332" s="21">
        <v>42.5</v>
      </c>
      <c r="K332" s="21" t="s">
        <v>104</v>
      </c>
    </row>
    <row r="333" ht="21.75" customHeight="1">
      <c r="A333" s="20">
        <v>45883.0</v>
      </c>
      <c r="B333" s="21" t="s">
        <v>996</v>
      </c>
      <c r="C333" s="21" t="s">
        <v>157</v>
      </c>
      <c r="D333" s="21" t="s">
        <v>271</v>
      </c>
      <c r="E333" s="21" t="s">
        <v>997</v>
      </c>
      <c r="F333" s="21"/>
      <c r="G333" s="22">
        <v>1.0</v>
      </c>
      <c r="H333" s="22" t="s">
        <v>239</v>
      </c>
      <c r="I333" s="21">
        <v>14.99</v>
      </c>
      <c r="J333" s="21">
        <v>14.99</v>
      </c>
      <c r="K333" s="21" t="s">
        <v>104</v>
      </c>
    </row>
    <row r="334" ht="21.75" customHeight="1">
      <c r="A334" s="20">
        <v>45884.0</v>
      </c>
      <c r="B334" s="21" t="s">
        <v>998</v>
      </c>
      <c r="C334" s="21" t="s">
        <v>157</v>
      </c>
      <c r="D334" s="21" t="s">
        <v>271</v>
      </c>
      <c r="E334" s="21" t="s">
        <v>999</v>
      </c>
      <c r="F334" s="21"/>
      <c r="G334" s="22">
        <v>3.0</v>
      </c>
      <c r="H334" s="22" t="s">
        <v>239</v>
      </c>
      <c r="I334" s="21">
        <v>4.99</v>
      </c>
      <c r="J334" s="21">
        <v>14.97</v>
      </c>
      <c r="K334" s="21" t="s">
        <v>104</v>
      </c>
    </row>
    <row r="335" ht="21.75" customHeight="1">
      <c r="A335" s="20">
        <v>45884.0</v>
      </c>
      <c r="B335" s="21" t="s">
        <v>998</v>
      </c>
      <c r="C335" s="21" t="s">
        <v>157</v>
      </c>
      <c r="D335" s="21" t="s">
        <v>271</v>
      </c>
      <c r="E335" s="21" t="s">
        <v>1000</v>
      </c>
      <c r="F335" s="21"/>
      <c r="G335" s="22">
        <v>1.0</v>
      </c>
      <c r="H335" s="22" t="s">
        <v>239</v>
      </c>
      <c r="I335" s="21">
        <v>6.99</v>
      </c>
      <c r="J335" s="21">
        <v>6.99</v>
      </c>
      <c r="K335" s="21" t="s">
        <v>104</v>
      </c>
    </row>
    <row r="336" ht="21.75" customHeight="1">
      <c r="A336" s="20">
        <v>45889.0</v>
      </c>
      <c r="B336" s="21" t="s">
        <v>1001</v>
      </c>
      <c r="C336" s="21" t="s">
        <v>157</v>
      </c>
      <c r="D336" s="21" t="s">
        <v>271</v>
      </c>
      <c r="E336" s="21" t="s">
        <v>999</v>
      </c>
      <c r="F336" s="21"/>
      <c r="G336" s="22">
        <v>1.0</v>
      </c>
      <c r="H336" s="22" t="s">
        <v>239</v>
      </c>
      <c r="I336" s="21">
        <v>0.0</v>
      </c>
      <c r="J336" s="21">
        <v>0.0</v>
      </c>
      <c r="K336" s="21" t="s">
        <v>104</v>
      </c>
    </row>
    <row r="337" ht="21.75" customHeight="1">
      <c r="A337" s="20">
        <v>45889.0</v>
      </c>
      <c r="B337" s="21" t="s">
        <v>1003</v>
      </c>
      <c r="C337" s="21" t="s">
        <v>157</v>
      </c>
      <c r="D337" s="21" t="s">
        <v>271</v>
      </c>
      <c r="E337" s="21" t="s">
        <v>999</v>
      </c>
      <c r="F337" s="21"/>
      <c r="G337" s="22">
        <v>1.0</v>
      </c>
      <c r="H337" s="22" t="s">
        <v>239</v>
      </c>
      <c r="I337" s="21">
        <v>0.0</v>
      </c>
      <c r="J337" s="21">
        <v>0.0</v>
      </c>
      <c r="K337" s="21" t="s">
        <v>104</v>
      </c>
    </row>
    <row r="338" ht="21.75" customHeight="1">
      <c r="A338" s="20">
        <v>45889.0</v>
      </c>
      <c r="B338" s="21" t="s">
        <v>1003</v>
      </c>
      <c r="C338" s="21" t="s">
        <v>157</v>
      </c>
      <c r="D338" s="21" t="s">
        <v>271</v>
      </c>
      <c r="E338" s="21" t="s">
        <v>999</v>
      </c>
      <c r="F338" s="21"/>
      <c r="G338" s="22">
        <v>1.0</v>
      </c>
      <c r="H338" s="22" t="s">
        <v>239</v>
      </c>
      <c r="I338" s="21">
        <v>0.0</v>
      </c>
      <c r="J338" s="21">
        <v>0.0</v>
      </c>
      <c r="K338" s="21" t="s">
        <v>104</v>
      </c>
    </row>
    <row r="339" ht="21.75" customHeight="1">
      <c r="A339" s="20">
        <v>45894.0</v>
      </c>
      <c r="B339" s="21" t="s">
        <v>1005</v>
      </c>
      <c r="C339" s="21" t="s">
        <v>157</v>
      </c>
      <c r="D339" s="21" t="s">
        <v>989</v>
      </c>
      <c r="E339" s="21" t="s">
        <v>1006</v>
      </c>
      <c r="F339" s="21"/>
      <c r="G339" s="22">
        <v>1.0</v>
      </c>
      <c r="H339" s="22" t="s">
        <v>239</v>
      </c>
      <c r="I339" s="21">
        <v>29.99</v>
      </c>
      <c r="J339" s="21">
        <v>29.99</v>
      </c>
      <c r="K339" s="21" t="s">
        <v>104</v>
      </c>
    </row>
    <row r="340" ht="21.75" customHeight="1">
      <c r="A340" s="20">
        <v>45894.0</v>
      </c>
      <c r="B340" s="21" t="s">
        <v>1007</v>
      </c>
      <c r="C340" s="21" t="s">
        <v>157</v>
      </c>
      <c r="D340" s="21" t="s">
        <v>226</v>
      </c>
      <c r="E340" s="21" t="s">
        <v>1008</v>
      </c>
      <c r="F340" s="21"/>
      <c r="G340" s="22">
        <v>2.0</v>
      </c>
      <c r="H340" s="22" t="s">
        <v>239</v>
      </c>
      <c r="I340" s="21">
        <v>7.49</v>
      </c>
      <c r="J340" s="21">
        <v>14.98</v>
      </c>
      <c r="K340" s="21" t="s">
        <v>104</v>
      </c>
    </row>
    <row r="341" ht="21.75" customHeight="1">
      <c r="A341" s="20">
        <v>45894.0</v>
      </c>
      <c r="B341" s="21" t="s">
        <v>1007</v>
      </c>
      <c r="C341" s="21" t="s">
        <v>157</v>
      </c>
      <c r="D341" s="21" t="s">
        <v>226</v>
      </c>
      <c r="E341" s="21" t="s">
        <v>1009</v>
      </c>
      <c r="F341" s="21"/>
      <c r="G341" s="22">
        <v>1.0</v>
      </c>
      <c r="H341" s="22" t="s">
        <v>239</v>
      </c>
      <c r="I341" s="21">
        <v>14.97</v>
      </c>
      <c r="J341" s="21">
        <v>14.97</v>
      </c>
      <c r="K341" s="21" t="s">
        <v>104</v>
      </c>
    </row>
    <row r="342" ht="21.75" customHeight="1">
      <c r="A342" s="20">
        <v>45894.0</v>
      </c>
      <c r="B342" s="21" t="s">
        <v>1011</v>
      </c>
      <c r="C342" s="21" t="s">
        <v>157</v>
      </c>
      <c r="D342" s="21" t="s">
        <v>226</v>
      </c>
      <c r="E342" s="21" t="s">
        <v>1012</v>
      </c>
      <c r="F342" s="21"/>
      <c r="G342" s="22">
        <v>1.0</v>
      </c>
      <c r="H342" s="22" t="s">
        <v>239</v>
      </c>
      <c r="I342" s="21">
        <v>22.29</v>
      </c>
      <c r="J342" s="21">
        <v>22.29</v>
      </c>
      <c r="K342" s="21" t="s">
        <v>104</v>
      </c>
    </row>
    <row r="343" ht="21.75" customHeight="1">
      <c r="A343" s="20">
        <v>45904.0</v>
      </c>
      <c r="B343" s="21" t="s">
        <v>1013</v>
      </c>
      <c r="C343" s="21" t="s">
        <v>157</v>
      </c>
      <c r="D343" s="21" t="s">
        <v>271</v>
      </c>
      <c r="E343" s="21" t="s">
        <v>1014</v>
      </c>
      <c r="F343" s="21"/>
      <c r="G343" s="22">
        <v>1.0</v>
      </c>
      <c r="H343" s="22" t="s">
        <v>239</v>
      </c>
      <c r="I343" s="21">
        <v>818.25</v>
      </c>
      <c r="J343" s="21">
        <v>839.12</v>
      </c>
      <c r="K343" s="21" t="s">
        <v>104</v>
      </c>
    </row>
    <row r="344" ht="21.75" customHeight="1">
      <c r="A344" s="20">
        <v>45908.0</v>
      </c>
      <c r="B344" s="21" t="s">
        <v>1015</v>
      </c>
      <c r="C344" s="21" t="s">
        <v>157</v>
      </c>
      <c r="D344" s="21" t="s">
        <v>271</v>
      </c>
      <c r="E344" s="21" t="s">
        <v>1016</v>
      </c>
      <c r="F344" s="21"/>
      <c r="G344" s="22">
        <v>3.0</v>
      </c>
      <c r="H344" s="22" t="s">
        <v>239</v>
      </c>
      <c r="I344" s="21">
        <v>39.97</v>
      </c>
      <c r="J344" s="21">
        <v>119.91</v>
      </c>
      <c r="K344" s="21" t="s">
        <v>104</v>
      </c>
    </row>
    <row r="345" ht="21.75" customHeight="1">
      <c r="A345" s="20">
        <v>45908.0</v>
      </c>
      <c r="B345" s="21" t="s">
        <v>1015</v>
      </c>
      <c r="C345" s="21" t="s">
        <v>157</v>
      </c>
      <c r="D345" s="21" t="s">
        <v>271</v>
      </c>
      <c r="E345" s="21" t="s">
        <v>1016</v>
      </c>
      <c r="F345" s="21"/>
      <c r="G345" s="22">
        <v>3.0</v>
      </c>
      <c r="H345" s="22" t="s">
        <v>239</v>
      </c>
      <c r="I345" s="21">
        <v>39.97</v>
      </c>
      <c r="J345" s="21">
        <v>119.91</v>
      </c>
      <c r="K345" s="21" t="s">
        <v>104</v>
      </c>
    </row>
    <row r="346" ht="21.75" customHeight="1">
      <c r="A346" s="20">
        <v>45908.0</v>
      </c>
      <c r="B346" s="21" t="s">
        <v>1015</v>
      </c>
      <c r="C346" s="21" t="s">
        <v>157</v>
      </c>
      <c r="D346" s="21" t="s">
        <v>271</v>
      </c>
      <c r="E346" s="21" t="s">
        <v>1016</v>
      </c>
      <c r="F346" s="21"/>
      <c r="G346" s="22">
        <v>3.0</v>
      </c>
      <c r="H346" s="22" t="s">
        <v>239</v>
      </c>
      <c r="I346" s="21">
        <v>39.97</v>
      </c>
      <c r="J346" s="21">
        <v>119.91</v>
      </c>
      <c r="K346" s="21" t="s">
        <v>104</v>
      </c>
    </row>
    <row r="347" ht="21.75" customHeight="1">
      <c r="A347" s="20">
        <v>45911.0</v>
      </c>
      <c r="B347" s="21" t="s">
        <v>1017</v>
      </c>
      <c r="C347" s="21" t="s">
        <v>157</v>
      </c>
      <c r="D347" s="21" t="s">
        <v>271</v>
      </c>
      <c r="E347" s="21" t="s">
        <v>1018</v>
      </c>
      <c r="F347" s="21"/>
      <c r="G347" s="22">
        <v>1.0</v>
      </c>
      <c r="H347" s="22" t="s">
        <v>239</v>
      </c>
      <c r="I347" s="21">
        <v>108.6</v>
      </c>
      <c r="J347" s="21">
        <v>108.6</v>
      </c>
      <c r="K347" s="21" t="s">
        <v>104</v>
      </c>
    </row>
    <row r="348" ht="21.75" customHeight="1">
      <c r="A348" s="20">
        <v>45911.0</v>
      </c>
      <c r="B348" s="21" t="s">
        <v>1017</v>
      </c>
      <c r="C348" s="21" t="s">
        <v>157</v>
      </c>
      <c r="D348" s="21" t="s">
        <v>271</v>
      </c>
      <c r="E348" s="21" t="s">
        <v>1020</v>
      </c>
      <c r="F348" s="21"/>
      <c r="G348" s="22">
        <v>1.0</v>
      </c>
      <c r="H348" s="22" t="s">
        <v>239</v>
      </c>
      <c r="I348" s="21">
        <v>37.48</v>
      </c>
      <c r="J348" s="21">
        <v>37.48</v>
      </c>
      <c r="K348" s="21" t="s">
        <v>104</v>
      </c>
    </row>
    <row r="349" ht="21.75" customHeight="1">
      <c r="A349" s="20">
        <v>45917.0</v>
      </c>
      <c r="B349" s="21" t="s">
        <v>1021</v>
      </c>
      <c r="C349" s="21" t="s">
        <v>157</v>
      </c>
      <c r="D349" s="21" t="s">
        <v>226</v>
      </c>
      <c r="E349" s="21" t="s">
        <v>1022</v>
      </c>
      <c r="F349" s="21"/>
      <c r="G349" s="22">
        <v>1.0</v>
      </c>
      <c r="H349" s="22" t="s">
        <v>239</v>
      </c>
      <c r="I349" s="21">
        <v>150.88</v>
      </c>
      <c r="J349" s="21">
        <v>150.88</v>
      </c>
      <c r="K349" s="21" t="s">
        <v>104</v>
      </c>
    </row>
    <row r="350" ht="21.75" customHeight="1">
      <c r="A350" s="20">
        <v>45919.0</v>
      </c>
      <c r="B350" s="21" t="s">
        <v>1024</v>
      </c>
      <c r="C350" s="21" t="s">
        <v>157</v>
      </c>
      <c r="D350" s="21" t="s">
        <v>989</v>
      </c>
      <c r="E350" s="21" t="s">
        <v>1025</v>
      </c>
      <c r="F350" s="21"/>
      <c r="G350" s="22">
        <v>10.0</v>
      </c>
      <c r="H350" s="22" t="s">
        <v>239</v>
      </c>
      <c r="I350" s="21">
        <v>8.25</v>
      </c>
      <c r="J350" s="21">
        <v>82.5</v>
      </c>
      <c r="K350" s="21" t="s">
        <v>104</v>
      </c>
    </row>
    <row r="351" ht="21.75" customHeight="1">
      <c r="A351" s="20">
        <v>45919.0</v>
      </c>
      <c r="B351" s="21" t="s">
        <v>1024</v>
      </c>
      <c r="C351" s="21" t="s">
        <v>157</v>
      </c>
      <c r="D351" s="21" t="s">
        <v>452</v>
      </c>
      <c r="E351" s="21" t="s">
        <v>1026</v>
      </c>
      <c r="F351" s="21"/>
      <c r="G351" s="22">
        <v>10.0</v>
      </c>
      <c r="H351" s="22" t="s">
        <v>239</v>
      </c>
      <c r="I351" s="21">
        <v>16.99</v>
      </c>
      <c r="J351" s="21">
        <v>169.9</v>
      </c>
      <c r="K351" s="21" t="s">
        <v>104</v>
      </c>
    </row>
    <row r="352" ht="21.75" customHeight="1">
      <c r="A352" s="20">
        <v>45919.0</v>
      </c>
      <c r="B352" s="21" t="s">
        <v>1024</v>
      </c>
      <c r="C352" s="21" t="s">
        <v>157</v>
      </c>
      <c r="D352" s="21" t="s">
        <v>452</v>
      </c>
      <c r="E352" s="21" t="s">
        <v>1028</v>
      </c>
      <c r="F352" s="21"/>
      <c r="G352" s="22">
        <v>5.0</v>
      </c>
      <c r="H352" s="22" t="s">
        <v>239</v>
      </c>
      <c r="I352" s="21">
        <v>7.99</v>
      </c>
      <c r="J352" s="21">
        <v>39.95</v>
      </c>
      <c r="K352" s="21" t="s">
        <v>104</v>
      </c>
    </row>
    <row r="353" ht="21.75" customHeight="1">
      <c r="A353" s="20">
        <v>45919.0</v>
      </c>
      <c r="B353" s="21" t="s">
        <v>1024</v>
      </c>
      <c r="C353" s="21" t="s">
        <v>157</v>
      </c>
      <c r="D353" s="21" t="s">
        <v>452</v>
      </c>
      <c r="E353" s="21" t="s">
        <v>1029</v>
      </c>
      <c r="F353" s="21"/>
      <c r="G353" s="22">
        <v>10.0</v>
      </c>
      <c r="H353" s="22" t="s">
        <v>239</v>
      </c>
      <c r="I353" s="21">
        <v>4.5</v>
      </c>
      <c r="J353" s="21">
        <v>45.0</v>
      </c>
      <c r="K353" s="21" t="s">
        <v>104</v>
      </c>
    </row>
    <row r="354" ht="21.75" customHeight="1">
      <c r="A354" s="20">
        <v>45919.0</v>
      </c>
      <c r="B354" s="21" t="s">
        <v>1024</v>
      </c>
      <c r="C354" s="21" t="s">
        <v>157</v>
      </c>
      <c r="D354" s="21" t="s">
        <v>452</v>
      </c>
      <c r="E354" s="21" t="s">
        <v>1030</v>
      </c>
      <c r="F354" s="21"/>
      <c r="G354" s="22">
        <v>2.0</v>
      </c>
      <c r="H354" s="22" t="s">
        <v>239</v>
      </c>
      <c r="I354" s="21">
        <v>8.99</v>
      </c>
      <c r="J354" s="21">
        <v>17.98</v>
      </c>
      <c r="K354" s="21" t="s">
        <v>104</v>
      </c>
    </row>
    <row r="355" ht="21.75" customHeight="1">
      <c r="A355" s="20">
        <v>45919.0</v>
      </c>
      <c r="B355" s="21" t="s">
        <v>1024</v>
      </c>
      <c r="C355" s="21" t="s">
        <v>157</v>
      </c>
      <c r="D355" s="21" t="s">
        <v>452</v>
      </c>
      <c r="E355" s="21" t="s">
        <v>1031</v>
      </c>
      <c r="F355" s="21"/>
      <c r="G355" s="22">
        <v>10.0</v>
      </c>
      <c r="H355" s="22" t="s">
        <v>239</v>
      </c>
      <c r="I355" s="21">
        <v>2.66</v>
      </c>
      <c r="J355" s="21">
        <v>26.6</v>
      </c>
      <c r="K355" s="21" t="s">
        <v>104</v>
      </c>
    </row>
    <row r="356" ht="21.75" customHeight="1">
      <c r="A356" s="20">
        <v>45922.0</v>
      </c>
      <c r="B356" s="21" t="s">
        <v>1032</v>
      </c>
      <c r="C356" s="21" t="s">
        <v>157</v>
      </c>
      <c r="D356" s="21" t="s">
        <v>429</v>
      </c>
      <c r="E356" s="21" t="s">
        <v>1033</v>
      </c>
      <c r="F356" s="21"/>
      <c r="G356" s="22">
        <v>1.0</v>
      </c>
      <c r="H356" s="22" t="s">
        <v>239</v>
      </c>
      <c r="I356" s="21">
        <v>69.99</v>
      </c>
      <c r="J356" s="21">
        <v>69.99</v>
      </c>
      <c r="K356" s="21" t="s">
        <v>104</v>
      </c>
    </row>
    <row r="357" ht="21.75" customHeight="1">
      <c r="A357" s="20">
        <v>45923.0</v>
      </c>
      <c r="B357" s="21" t="s">
        <v>1034</v>
      </c>
      <c r="C357" s="21" t="s">
        <v>157</v>
      </c>
      <c r="D357" s="21" t="s">
        <v>989</v>
      </c>
      <c r="E357" s="21" t="s">
        <v>1035</v>
      </c>
      <c r="F357" s="21"/>
      <c r="G357" s="22">
        <v>1.0</v>
      </c>
      <c r="H357" s="22" t="s">
        <v>239</v>
      </c>
      <c r="I357" s="21">
        <v>6.99</v>
      </c>
      <c r="J357" s="21">
        <v>6.99</v>
      </c>
      <c r="K357" s="21" t="s">
        <v>104</v>
      </c>
    </row>
    <row r="358" ht="21.75" customHeight="1">
      <c r="A358" s="20">
        <v>45923.0</v>
      </c>
      <c r="B358" s="21" t="s">
        <v>1036</v>
      </c>
      <c r="C358" s="21" t="s">
        <v>157</v>
      </c>
      <c r="D358" s="21" t="s">
        <v>271</v>
      </c>
      <c r="E358" s="21" t="s">
        <v>1037</v>
      </c>
      <c r="F358" s="21"/>
      <c r="G358" s="22">
        <v>1.0</v>
      </c>
      <c r="H358" s="22" t="s">
        <v>239</v>
      </c>
      <c r="I358" s="21">
        <v>12.73</v>
      </c>
      <c r="J358" s="21">
        <v>12.73</v>
      </c>
      <c r="K358" s="21" t="s">
        <v>104</v>
      </c>
    </row>
    <row r="359" ht="21.75" customHeight="1">
      <c r="A359" s="20">
        <v>45923.0</v>
      </c>
      <c r="B359" s="21" t="s">
        <v>1036</v>
      </c>
      <c r="C359" s="21" t="s">
        <v>157</v>
      </c>
      <c r="D359" s="21" t="s">
        <v>271</v>
      </c>
      <c r="E359" s="21" t="s">
        <v>1038</v>
      </c>
      <c r="F359" s="21"/>
      <c r="G359" s="22">
        <v>1.0</v>
      </c>
      <c r="H359" s="22" t="s">
        <v>239</v>
      </c>
      <c r="I359" s="21">
        <v>7.92</v>
      </c>
      <c r="J359" s="21">
        <v>7.92</v>
      </c>
      <c r="K359" s="21" t="s">
        <v>104</v>
      </c>
    </row>
    <row r="360" ht="21.75" customHeight="1">
      <c r="A360" s="20">
        <v>45923.0</v>
      </c>
      <c r="B360" s="21" t="s">
        <v>1036</v>
      </c>
      <c r="C360" s="21" t="s">
        <v>157</v>
      </c>
      <c r="D360" s="21" t="s">
        <v>271</v>
      </c>
      <c r="E360" s="21" t="s">
        <v>1039</v>
      </c>
      <c r="F360" s="21"/>
      <c r="G360" s="22">
        <v>1.0</v>
      </c>
      <c r="H360" s="22" t="s">
        <v>239</v>
      </c>
      <c r="I360" s="21">
        <v>5.48</v>
      </c>
      <c r="J360" s="21">
        <v>5.48</v>
      </c>
      <c r="K360" s="21" t="s">
        <v>104</v>
      </c>
    </row>
    <row r="361" ht="21.75" customHeight="1">
      <c r="A361" s="20">
        <v>45923.0</v>
      </c>
      <c r="B361" s="21" t="s">
        <v>1036</v>
      </c>
      <c r="C361" s="21" t="s">
        <v>157</v>
      </c>
      <c r="D361" s="21" t="s">
        <v>271</v>
      </c>
      <c r="E361" s="21" t="s">
        <v>999</v>
      </c>
      <c r="F361" s="21"/>
      <c r="G361" s="22">
        <v>3.0</v>
      </c>
      <c r="H361" s="22" t="s">
        <v>239</v>
      </c>
      <c r="I361" s="21">
        <v>4.99</v>
      </c>
      <c r="J361" s="21">
        <v>14.97</v>
      </c>
      <c r="K361" s="21" t="s">
        <v>104</v>
      </c>
    </row>
    <row r="362" ht="21.75" customHeight="1">
      <c r="A362" s="20">
        <v>45923.0</v>
      </c>
      <c r="B362" s="21" t="s">
        <v>1041</v>
      </c>
      <c r="C362" s="21" t="s">
        <v>157</v>
      </c>
      <c r="D362" s="21" t="s">
        <v>226</v>
      </c>
      <c r="E362" s="21" t="s">
        <v>1022</v>
      </c>
      <c r="F362" s="21"/>
      <c r="G362" s="22">
        <v>2.0</v>
      </c>
      <c r="H362" s="22" t="s">
        <v>239</v>
      </c>
      <c r="I362" s="21">
        <v>150.88</v>
      </c>
      <c r="J362" s="21">
        <v>301.76</v>
      </c>
      <c r="K362" s="21" t="s">
        <v>104</v>
      </c>
    </row>
    <row r="363" ht="21.75" customHeight="1">
      <c r="A363" s="20">
        <v>45925.0</v>
      </c>
      <c r="B363" s="21" t="s">
        <v>1042</v>
      </c>
      <c r="C363" s="21" t="s">
        <v>157</v>
      </c>
      <c r="D363" s="21" t="s">
        <v>271</v>
      </c>
      <c r="E363" s="21" t="s">
        <v>1043</v>
      </c>
      <c r="F363" s="21"/>
      <c r="G363" s="22">
        <v>2.0</v>
      </c>
      <c r="H363" s="22" t="s">
        <v>239</v>
      </c>
      <c r="I363" s="21">
        <v>14.07</v>
      </c>
      <c r="J363" s="21">
        <v>28.14</v>
      </c>
      <c r="K363" s="21" t="s">
        <v>104</v>
      </c>
    </row>
    <row r="364" ht="21.75" customHeight="1">
      <c r="A364" s="20">
        <v>45925.0</v>
      </c>
      <c r="B364" s="21" t="s">
        <v>1042</v>
      </c>
      <c r="C364" s="21" t="s">
        <v>157</v>
      </c>
      <c r="D364" s="21" t="s">
        <v>226</v>
      </c>
      <c r="E364" s="21" t="s">
        <v>1045</v>
      </c>
      <c r="F364" s="21"/>
      <c r="G364" s="22">
        <v>2.0</v>
      </c>
      <c r="H364" s="22" t="s">
        <v>239</v>
      </c>
      <c r="I364" s="21">
        <v>14.63</v>
      </c>
      <c r="J364" s="21">
        <v>29.26</v>
      </c>
      <c r="K364" s="21" t="s">
        <v>104</v>
      </c>
    </row>
    <row r="365" ht="21.75" customHeight="1">
      <c r="A365" s="20">
        <v>45925.0</v>
      </c>
      <c r="B365" s="21" t="s">
        <v>1042</v>
      </c>
      <c r="C365" s="21" t="s">
        <v>157</v>
      </c>
      <c r="D365" s="21" t="s">
        <v>42</v>
      </c>
      <c r="E365" s="21" t="s">
        <v>1046</v>
      </c>
      <c r="F365" s="21"/>
      <c r="G365" s="22">
        <v>1.0</v>
      </c>
      <c r="H365" s="22" t="s">
        <v>239</v>
      </c>
      <c r="I365" s="21">
        <v>15.99</v>
      </c>
      <c r="J365" s="21">
        <v>15.99</v>
      </c>
      <c r="K365" s="21" t="s">
        <v>104</v>
      </c>
    </row>
    <row r="366" ht="21.75" customHeight="1">
      <c r="A366" s="20">
        <v>45925.0</v>
      </c>
      <c r="B366" s="21" t="s">
        <v>1042</v>
      </c>
      <c r="C366" s="21" t="s">
        <v>157</v>
      </c>
      <c r="D366" s="21" t="s">
        <v>226</v>
      </c>
      <c r="E366" s="21" t="s">
        <v>1047</v>
      </c>
      <c r="F366" s="21"/>
      <c r="G366" s="22">
        <v>1.0</v>
      </c>
      <c r="H366" s="22" t="s">
        <v>239</v>
      </c>
      <c r="I366" s="21">
        <v>8.99</v>
      </c>
      <c r="J366" s="21">
        <v>8.99</v>
      </c>
      <c r="K366" s="21" t="s">
        <v>104</v>
      </c>
    </row>
    <row r="367" ht="21.75" customHeight="1">
      <c r="A367" s="20">
        <v>45925.0</v>
      </c>
      <c r="B367" s="21" t="s">
        <v>1042</v>
      </c>
      <c r="C367" s="21" t="s">
        <v>157</v>
      </c>
      <c r="D367" s="21" t="s">
        <v>349</v>
      </c>
      <c r="E367" s="21" t="s">
        <v>1048</v>
      </c>
      <c r="F367" s="21"/>
      <c r="G367" s="22">
        <v>2.0</v>
      </c>
      <c r="H367" s="22" t="s">
        <v>239</v>
      </c>
      <c r="I367" s="21">
        <v>8.99</v>
      </c>
      <c r="J367" s="21">
        <v>17.98</v>
      </c>
      <c r="K367" s="21" t="s">
        <v>104</v>
      </c>
    </row>
    <row r="368" ht="21.75" customHeight="1">
      <c r="A368" s="20">
        <v>45925.0</v>
      </c>
      <c r="B368" s="21" t="s">
        <v>1049</v>
      </c>
      <c r="C368" s="21" t="s">
        <v>157</v>
      </c>
      <c r="D368" s="21" t="s">
        <v>226</v>
      </c>
      <c r="E368" s="21" t="s">
        <v>1050</v>
      </c>
      <c r="F368" s="21"/>
      <c r="G368" s="22">
        <v>2.0</v>
      </c>
      <c r="H368" s="22" t="s">
        <v>239</v>
      </c>
      <c r="I368" s="21">
        <v>10.95</v>
      </c>
      <c r="J368" s="21">
        <v>21.9</v>
      </c>
      <c r="K368" s="21" t="s">
        <v>104</v>
      </c>
    </row>
    <row r="369" ht="21.75" customHeight="1">
      <c r="A369" s="20">
        <v>45929.0</v>
      </c>
      <c r="B369" s="21" t="s">
        <v>1052</v>
      </c>
      <c r="C369" s="21" t="s">
        <v>157</v>
      </c>
      <c r="D369" s="21" t="s">
        <v>226</v>
      </c>
      <c r="E369" s="21" t="s">
        <v>1053</v>
      </c>
      <c r="F369" s="21"/>
      <c r="G369" s="22">
        <v>20.0</v>
      </c>
      <c r="H369" s="22" t="s">
        <v>239</v>
      </c>
      <c r="I369" s="21">
        <v>18.39</v>
      </c>
      <c r="J369" s="21">
        <v>367.8</v>
      </c>
      <c r="K369" s="21" t="s">
        <v>104</v>
      </c>
    </row>
    <row r="370" ht="21.75" customHeight="1">
      <c r="A370" s="20">
        <v>45929.0</v>
      </c>
      <c r="B370" s="21" t="s">
        <v>1052</v>
      </c>
      <c r="C370" s="21" t="s">
        <v>157</v>
      </c>
      <c r="D370" s="21" t="s">
        <v>452</v>
      </c>
      <c r="E370" s="21" t="s">
        <v>1054</v>
      </c>
      <c r="F370" s="21"/>
      <c r="G370" s="22">
        <v>5.0</v>
      </c>
      <c r="H370" s="22" t="s">
        <v>239</v>
      </c>
      <c r="I370" s="21">
        <v>14.06</v>
      </c>
      <c r="J370" s="21">
        <v>70.3</v>
      </c>
      <c r="K370" s="21" t="s">
        <v>104</v>
      </c>
    </row>
    <row r="371" ht="21.75" customHeight="1">
      <c r="A371" s="20">
        <v>45930.0</v>
      </c>
      <c r="B371" s="21" t="s">
        <v>1056</v>
      </c>
      <c r="C371" s="21" t="s">
        <v>157</v>
      </c>
      <c r="D371" s="21" t="s">
        <v>271</v>
      </c>
      <c r="E371" s="21" t="s">
        <v>1057</v>
      </c>
      <c r="F371" s="21"/>
      <c r="G371" s="22">
        <v>1.0</v>
      </c>
      <c r="H371" s="22" t="s">
        <v>239</v>
      </c>
      <c r="I371" s="21">
        <v>31.32</v>
      </c>
      <c r="J371" s="21">
        <v>31.32</v>
      </c>
      <c r="K371" s="21" t="s">
        <v>104</v>
      </c>
    </row>
    <row r="372" ht="21.75" customHeight="1">
      <c r="A372" s="20">
        <v>45931.0</v>
      </c>
      <c r="B372" s="21" t="s">
        <v>1058</v>
      </c>
      <c r="C372" s="21" t="s">
        <v>307</v>
      </c>
      <c r="D372" s="21" t="s">
        <v>42</v>
      </c>
      <c r="E372" s="21" t="s">
        <v>309</v>
      </c>
      <c r="F372" s="21" t="s">
        <v>596</v>
      </c>
      <c r="G372" s="22">
        <v>2000.0</v>
      </c>
      <c r="H372" s="22" t="s">
        <v>73</v>
      </c>
      <c r="I372" s="24">
        <v>0.179</v>
      </c>
      <c r="J372" s="23">
        <v>358.0</v>
      </c>
      <c r="K372" s="21" t="s">
        <v>104</v>
      </c>
    </row>
    <row r="373" ht="21.75" customHeight="1">
      <c r="A373" s="20">
        <v>45931.0</v>
      </c>
      <c r="B373" s="21" t="s">
        <v>1058</v>
      </c>
      <c r="C373" s="21" t="s">
        <v>307</v>
      </c>
      <c r="D373" s="21" t="s">
        <v>42</v>
      </c>
      <c r="E373" s="21" t="s">
        <v>317</v>
      </c>
      <c r="F373" s="21" t="s">
        <v>602</v>
      </c>
      <c r="G373" s="22">
        <v>1.0</v>
      </c>
      <c r="H373" s="22" t="s">
        <v>73</v>
      </c>
      <c r="I373" s="23">
        <v>104.42</v>
      </c>
      <c r="J373" s="23">
        <v>104.42</v>
      </c>
      <c r="K373" s="21" t="s">
        <v>104</v>
      </c>
    </row>
    <row r="374" ht="21.75" customHeight="1">
      <c r="A374" s="20">
        <v>45933.0</v>
      </c>
      <c r="B374" s="21" t="s">
        <v>1060</v>
      </c>
      <c r="C374" s="21" t="s">
        <v>157</v>
      </c>
      <c r="D374" s="21" t="s">
        <v>226</v>
      </c>
      <c r="E374" s="21" t="s">
        <v>1061</v>
      </c>
      <c r="F374" s="21"/>
      <c r="G374" s="22">
        <v>2.0</v>
      </c>
      <c r="H374" s="22" t="s">
        <v>239</v>
      </c>
      <c r="I374" s="21">
        <v>27.54</v>
      </c>
      <c r="J374" s="21">
        <v>55.08</v>
      </c>
      <c r="K374" s="21" t="s">
        <v>104</v>
      </c>
    </row>
    <row r="375" ht="21.75" customHeight="1">
      <c r="A375" s="20">
        <v>45936.0</v>
      </c>
      <c r="B375" s="21" t="s">
        <v>1062</v>
      </c>
      <c r="C375" s="21" t="s">
        <v>157</v>
      </c>
      <c r="D375" s="21" t="s">
        <v>271</v>
      </c>
      <c r="E375" s="21" t="s">
        <v>1063</v>
      </c>
      <c r="F375" s="21"/>
      <c r="G375" s="22">
        <v>1.0</v>
      </c>
      <c r="H375" s="22" t="s">
        <v>239</v>
      </c>
      <c r="I375" s="21">
        <v>108.67</v>
      </c>
      <c r="J375" s="21">
        <v>108.67</v>
      </c>
      <c r="K375" s="21" t="s">
        <v>104</v>
      </c>
    </row>
    <row r="376" ht="21.75" customHeight="1">
      <c r="A376" s="20">
        <v>45936.0</v>
      </c>
      <c r="B376" s="21" t="s">
        <v>1062</v>
      </c>
      <c r="C376" s="21" t="s">
        <v>157</v>
      </c>
      <c r="D376" s="21" t="s">
        <v>271</v>
      </c>
      <c r="E376" s="21" t="s">
        <v>1064</v>
      </c>
      <c r="F376" s="21"/>
      <c r="G376" s="22">
        <v>1.0</v>
      </c>
      <c r="H376" s="22" t="s">
        <v>239</v>
      </c>
      <c r="I376" s="21">
        <v>39.48</v>
      </c>
      <c r="J376" s="21">
        <v>39.48</v>
      </c>
      <c r="K376" s="21" t="s">
        <v>104</v>
      </c>
    </row>
    <row r="377" ht="21.75" customHeight="1">
      <c r="A377" s="20">
        <v>45940.0</v>
      </c>
      <c r="B377" s="21" t="s">
        <v>1065</v>
      </c>
      <c r="C377" s="21" t="s">
        <v>157</v>
      </c>
      <c r="D377" s="21" t="s">
        <v>271</v>
      </c>
      <c r="E377" s="21" t="s">
        <v>1066</v>
      </c>
      <c r="F377" s="21"/>
      <c r="G377" s="22">
        <v>2.0</v>
      </c>
      <c r="H377" s="22" t="s">
        <v>239</v>
      </c>
      <c r="I377" s="21">
        <v>9.99</v>
      </c>
      <c r="J377" s="21">
        <v>19.98</v>
      </c>
      <c r="K377" s="21" t="s">
        <v>104</v>
      </c>
    </row>
    <row r="378" ht="21.75" customHeight="1">
      <c r="A378" s="20">
        <v>45940.0</v>
      </c>
      <c r="B378" s="21" t="s">
        <v>1065</v>
      </c>
      <c r="C378" s="21" t="s">
        <v>157</v>
      </c>
      <c r="D378" s="21" t="s">
        <v>271</v>
      </c>
      <c r="E378" s="21" t="s">
        <v>1068</v>
      </c>
      <c r="F378" s="21"/>
      <c r="G378" s="22">
        <v>1.0</v>
      </c>
      <c r="H378" s="22" t="s">
        <v>239</v>
      </c>
      <c r="I378" s="21">
        <v>19.99</v>
      </c>
      <c r="J378" s="21">
        <v>19.99</v>
      </c>
      <c r="K378" s="21" t="s">
        <v>104</v>
      </c>
    </row>
    <row r="379" ht="21.75" customHeight="1">
      <c r="A379" s="20">
        <v>45940.0</v>
      </c>
      <c r="B379" s="21" t="s">
        <v>1065</v>
      </c>
      <c r="C379" s="21" t="s">
        <v>157</v>
      </c>
      <c r="D379" s="21" t="s">
        <v>271</v>
      </c>
      <c r="E379" s="21" t="s">
        <v>1069</v>
      </c>
      <c r="F379" s="21"/>
      <c r="G379" s="22">
        <v>1.0</v>
      </c>
      <c r="H379" s="22" t="s">
        <v>239</v>
      </c>
      <c r="I379" s="21">
        <v>11.99</v>
      </c>
      <c r="J379" s="21">
        <v>11.39</v>
      </c>
      <c r="K379" s="21" t="s">
        <v>104</v>
      </c>
    </row>
    <row r="380" ht="21.75" customHeight="1">
      <c r="A380" s="20">
        <v>45940.0</v>
      </c>
      <c r="B380" s="21" t="s">
        <v>1065</v>
      </c>
      <c r="C380" s="21" t="s">
        <v>157</v>
      </c>
      <c r="D380" s="21" t="s">
        <v>226</v>
      </c>
      <c r="E380" s="21" t="s">
        <v>1071</v>
      </c>
      <c r="F380" s="21"/>
      <c r="G380" s="22">
        <v>4.0</v>
      </c>
      <c r="H380" s="22" t="s">
        <v>239</v>
      </c>
      <c r="I380" s="21">
        <v>54.65</v>
      </c>
      <c r="J380" s="21">
        <v>218.6</v>
      </c>
      <c r="K380" s="21" t="s">
        <v>104</v>
      </c>
    </row>
    <row r="381" ht="21.75" customHeight="1">
      <c r="A381" s="20">
        <v>45940.0</v>
      </c>
      <c r="B381" s="21" t="s">
        <v>1065</v>
      </c>
      <c r="C381" s="21" t="s">
        <v>157</v>
      </c>
      <c r="D381" s="21" t="s">
        <v>271</v>
      </c>
      <c r="E381" s="21" t="s">
        <v>1072</v>
      </c>
      <c r="F381" s="21"/>
      <c r="G381" s="22">
        <v>2.0</v>
      </c>
      <c r="H381" s="22" t="s">
        <v>239</v>
      </c>
      <c r="I381" s="21">
        <v>7.44</v>
      </c>
      <c r="J381" s="21">
        <v>14.88</v>
      </c>
      <c r="K381" s="21" t="s">
        <v>104</v>
      </c>
    </row>
    <row r="382" ht="21.75" customHeight="1">
      <c r="A382" s="20">
        <v>45940.0</v>
      </c>
      <c r="B382" s="21" t="s">
        <v>1065</v>
      </c>
      <c r="C382" s="21" t="s">
        <v>157</v>
      </c>
      <c r="D382" s="21" t="s">
        <v>226</v>
      </c>
      <c r="E382" s="21" t="s">
        <v>1073</v>
      </c>
      <c r="F382" s="21"/>
      <c r="G382" s="22">
        <v>2.0</v>
      </c>
      <c r="H382" s="22" t="s">
        <v>239</v>
      </c>
      <c r="I382" s="21">
        <v>62.82</v>
      </c>
      <c r="J382" s="21">
        <v>125.64</v>
      </c>
      <c r="K382" s="21" t="s">
        <v>104</v>
      </c>
    </row>
    <row r="383" ht="21.75" customHeight="1">
      <c r="A383" s="20">
        <v>45940.0</v>
      </c>
      <c r="B383" s="21" t="s">
        <v>1065</v>
      </c>
      <c r="C383" s="21" t="s">
        <v>157</v>
      </c>
      <c r="D383" s="21" t="s">
        <v>271</v>
      </c>
      <c r="E383" s="21" t="s">
        <v>1074</v>
      </c>
      <c r="F383" s="21"/>
      <c r="G383" s="22">
        <v>1.0</v>
      </c>
      <c r="H383" s="22" t="s">
        <v>239</v>
      </c>
      <c r="I383" s="21">
        <v>16.94</v>
      </c>
      <c r="J383" s="21">
        <v>16.94</v>
      </c>
      <c r="K383" s="21" t="s">
        <v>104</v>
      </c>
    </row>
    <row r="384" ht="21.75" customHeight="1">
      <c r="A384" s="20">
        <v>45940.0</v>
      </c>
      <c r="B384" s="21" t="s">
        <v>1065</v>
      </c>
      <c r="C384" s="21" t="s">
        <v>157</v>
      </c>
      <c r="D384" s="21" t="s">
        <v>226</v>
      </c>
      <c r="E384" s="21" t="s">
        <v>1075</v>
      </c>
      <c r="F384" s="21"/>
      <c r="G384" s="22">
        <v>1.0</v>
      </c>
      <c r="H384" s="22" t="s">
        <v>239</v>
      </c>
      <c r="I384" s="21">
        <v>10.32</v>
      </c>
      <c r="J384" s="21">
        <v>10.32</v>
      </c>
      <c r="K384" s="21" t="s">
        <v>104</v>
      </c>
    </row>
    <row r="385" ht="21.75" customHeight="1">
      <c r="A385" s="20">
        <v>45941.0</v>
      </c>
      <c r="B385" s="21" t="s">
        <v>1076</v>
      </c>
      <c r="C385" s="21" t="s">
        <v>157</v>
      </c>
      <c r="D385" s="21" t="s">
        <v>271</v>
      </c>
      <c r="E385" s="21" t="s">
        <v>1077</v>
      </c>
      <c r="F385" s="21"/>
      <c r="G385" s="22">
        <v>2.0</v>
      </c>
      <c r="H385" s="22" t="s">
        <v>239</v>
      </c>
      <c r="I385" s="21">
        <v>15.34</v>
      </c>
      <c r="J385" s="21">
        <v>30.68</v>
      </c>
      <c r="K385" s="21" t="s">
        <v>104</v>
      </c>
    </row>
    <row r="386" ht="21.75" customHeight="1">
      <c r="A386" s="20">
        <v>45941.0</v>
      </c>
      <c r="B386" s="21" t="s">
        <v>1078</v>
      </c>
      <c r="C386" s="21" t="s">
        <v>157</v>
      </c>
      <c r="D386" s="21" t="s">
        <v>226</v>
      </c>
      <c r="E386" s="21" t="s">
        <v>1079</v>
      </c>
      <c r="F386" s="21"/>
      <c r="G386" s="22">
        <v>1.0</v>
      </c>
      <c r="H386" s="22" t="s">
        <v>239</v>
      </c>
      <c r="I386" s="21">
        <v>22.99</v>
      </c>
      <c r="J386" s="21">
        <v>22.99</v>
      </c>
      <c r="K386" s="21" t="s">
        <v>104</v>
      </c>
    </row>
    <row r="387" ht="21.75" customHeight="1">
      <c r="A387" s="20">
        <v>45941.0</v>
      </c>
      <c r="B387" s="21" t="s">
        <v>1078</v>
      </c>
      <c r="C387" s="21" t="s">
        <v>157</v>
      </c>
      <c r="D387" s="21" t="s">
        <v>226</v>
      </c>
      <c r="E387" s="21" t="s">
        <v>1080</v>
      </c>
      <c r="F387" s="21"/>
      <c r="G387" s="22">
        <v>1.0</v>
      </c>
      <c r="H387" s="22" t="s">
        <v>239</v>
      </c>
      <c r="I387" s="21">
        <v>69.0</v>
      </c>
      <c r="J387" s="21">
        <v>69.0</v>
      </c>
      <c r="K387" s="21" t="s">
        <v>104</v>
      </c>
    </row>
    <row r="388" ht="21.75" customHeight="1">
      <c r="A388" s="20">
        <v>45941.0</v>
      </c>
      <c r="B388" s="21" t="s">
        <v>1078</v>
      </c>
      <c r="C388" s="21" t="s">
        <v>157</v>
      </c>
      <c r="D388" s="21" t="s">
        <v>226</v>
      </c>
      <c r="E388" s="21" t="s">
        <v>1082</v>
      </c>
      <c r="F388" s="21"/>
      <c r="G388" s="22">
        <v>1.0</v>
      </c>
      <c r="H388" s="22" t="s">
        <v>239</v>
      </c>
      <c r="I388" s="21">
        <v>19.49</v>
      </c>
      <c r="J388" s="21">
        <v>19.49</v>
      </c>
      <c r="K388" s="21" t="s">
        <v>104</v>
      </c>
    </row>
    <row r="389" ht="21.75" customHeight="1">
      <c r="A389" s="20">
        <v>45943.0</v>
      </c>
      <c r="B389" s="21" t="s">
        <v>1083</v>
      </c>
      <c r="C389" s="21" t="s">
        <v>157</v>
      </c>
      <c r="D389" s="21" t="s">
        <v>349</v>
      </c>
      <c r="E389" s="21" t="s">
        <v>1084</v>
      </c>
      <c r="F389" s="21"/>
      <c r="G389" s="22">
        <v>1.0</v>
      </c>
      <c r="H389" s="22" t="s">
        <v>239</v>
      </c>
      <c r="I389" s="21">
        <v>8.54</v>
      </c>
      <c r="J389" s="21">
        <v>8.54</v>
      </c>
      <c r="K389" s="21" t="s">
        <v>104</v>
      </c>
    </row>
    <row r="390" ht="21.75" customHeight="1">
      <c r="A390" s="20">
        <v>45943.0</v>
      </c>
      <c r="B390" s="21" t="s">
        <v>1083</v>
      </c>
      <c r="C390" s="21" t="s">
        <v>157</v>
      </c>
      <c r="D390" s="21" t="s">
        <v>349</v>
      </c>
      <c r="E390" s="21" t="s">
        <v>1086</v>
      </c>
      <c r="F390" s="21"/>
      <c r="G390" s="22">
        <v>2.0</v>
      </c>
      <c r="H390" s="22" t="s">
        <v>239</v>
      </c>
      <c r="I390" s="21">
        <v>31.99</v>
      </c>
      <c r="J390" s="21">
        <v>63.98</v>
      </c>
      <c r="K390" s="21" t="s">
        <v>104</v>
      </c>
    </row>
    <row r="391" ht="21.75" customHeight="1">
      <c r="A391" s="20">
        <v>45943.0</v>
      </c>
      <c r="B391" s="21" t="s">
        <v>1083</v>
      </c>
      <c r="C391" s="21" t="s">
        <v>157</v>
      </c>
      <c r="D391" s="21" t="s">
        <v>429</v>
      </c>
      <c r="E391" s="21" t="s">
        <v>1087</v>
      </c>
      <c r="F391" s="21"/>
      <c r="G391" s="22">
        <v>4.0</v>
      </c>
      <c r="H391" s="22" t="s">
        <v>239</v>
      </c>
      <c r="I391" s="21">
        <v>25.64</v>
      </c>
      <c r="J391" s="21">
        <v>102.56</v>
      </c>
      <c r="K391" s="21" t="s">
        <v>104</v>
      </c>
    </row>
    <row r="392" ht="21.75" customHeight="1">
      <c r="A392" s="20">
        <v>45943.0</v>
      </c>
      <c r="B392" s="21" t="s">
        <v>1088</v>
      </c>
      <c r="C392" s="21" t="s">
        <v>157</v>
      </c>
      <c r="D392" s="21" t="s">
        <v>271</v>
      </c>
      <c r="E392" s="21" t="s">
        <v>1090</v>
      </c>
      <c r="F392" s="21"/>
      <c r="G392" s="22">
        <v>1.0</v>
      </c>
      <c r="H392" s="22" t="s">
        <v>239</v>
      </c>
      <c r="I392" s="21">
        <v>47.23</v>
      </c>
      <c r="J392" s="21">
        <v>47.23</v>
      </c>
      <c r="K392" s="21" t="s">
        <v>104</v>
      </c>
    </row>
    <row r="393" ht="21.75" customHeight="1">
      <c r="A393" s="20">
        <v>45944.0</v>
      </c>
      <c r="B393" s="21" t="s">
        <v>1091</v>
      </c>
      <c r="C393" s="21" t="s">
        <v>157</v>
      </c>
      <c r="D393" s="21" t="s">
        <v>349</v>
      </c>
      <c r="E393" s="21" t="s">
        <v>1092</v>
      </c>
      <c r="F393" s="21"/>
      <c r="G393" s="22">
        <v>1.0</v>
      </c>
      <c r="H393" s="22" t="s">
        <v>239</v>
      </c>
      <c r="I393" s="21">
        <v>59.8</v>
      </c>
      <c r="J393" s="21">
        <v>59.8</v>
      </c>
      <c r="K393" s="21" t="s">
        <v>104</v>
      </c>
    </row>
    <row r="394" ht="21.75" customHeight="1">
      <c r="A394" s="20">
        <v>45944.0</v>
      </c>
      <c r="B394" s="21" t="s">
        <v>1093</v>
      </c>
      <c r="C394" s="21" t="s">
        <v>157</v>
      </c>
      <c r="D394" s="21" t="s">
        <v>349</v>
      </c>
      <c r="E394" s="21" t="s">
        <v>1094</v>
      </c>
      <c r="F394" s="21"/>
      <c r="G394" s="22">
        <v>2.0</v>
      </c>
      <c r="H394" s="22" t="s">
        <v>239</v>
      </c>
      <c r="I394" s="21">
        <v>19.22</v>
      </c>
      <c r="J394" s="21">
        <v>38.44</v>
      </c>
      <c r="K394" s="21" t="s">
        <v>104</v>
      </c>
    </row>
    <row r="395" ht="21.75" customHeight="1">
      <c r="A395" s="20">
        <v>45944.0</v>
      </c>
      <c r="B395" s="21" t="s">
        <v>1093</v>
      </c>
      <c r="C395" s="21" t="s">
        <v>157</v>
      </c>
      <c r="D395" s="21" t="s">
        <v>349</v>
      </c>
      <c r="E395" s="21" t="s">
        <v>1095</v>
      </c>
      <c r="F395" s="21"/>
      <c r="G395" s="22">
        <v>1.0</v>
      </c>
      <c r="H395" s="22" t="s">
        <v>239</v>
      </c>
      <c r="I395" s="21">
        <v>54.94</v>
      </c>
      <c r="J395" s="21">
        <v>54.94</v>
      </c>
      <c r="K395" s="21" t="s">
        <v>104</v>
      </c>
    </row>
    <row r="396" ht="21.75" customHeight="1">
      <c r="A396" s="20">
        <v>45945.0</v>
      </c>
      <c r="B396" s="21" t="s">
        <v>1096</v>
      </c>
      <c r="C396" s="21" t="s">
        <v>176</v>
      </c>
      <c r="D396" s="21" t="s">
        <v>175</v>
      </c>
      <c r="E396" s="21" t="s">
        <v>962</v>
      </c>
      <c r="F396" s="21" t="s">
        <v>1097</v>
      </c>
      <c r="G396" s="22">
        <v>1.0</v>
      </c>
      <c r="H396" s="22" t="s">
        <v>177</v>
      </c>
      <c r="I396" s="23">
        <v>40.0</v>
      </c>
      <c r="J396" s="23">
        <f t="shared" ref="J396:J400" si="10">G396*I396</f>
        <v>40</v>
      </c>
      <c r="K396" s="21" t="s">
        <v>104</v>
      </c>
    </row>
    <row r="397" ht="21.75" customHeight="1">
      <c r="A397" s="20">
        <v>45945.0</v>
      </c>
      <c r="B397" s="21" t="s">
        <v>1096</v>
      </c>
      <c r="C397" s="21" t="s">
        <v>176</v>
      </c>
      <c r="D397" s="21" t="s">
        <v>175</v>
      </c>
      <c r="E397" s="21" t="s">
        <v>959</v>
      </c>
      <c r="F397" s="21" t="s">
        <v>1099</v>
      </c>
      <c r="G397" s="22">
        <v>2.0</v>
      </c>
      <c r="H397" s="22" t="s">
        <v>177</v>
      </c>
      <c r="I397" s="23">
        <v>17.0</v>
      </c>
      <c r="J397" s="23">
        <f t="shared" si="10"/>
        <v>34</v>
      </c>
      <c r="K397" s="21" t="s">
        <v>104</v>
      </c>
    </row>
    <row r="398" ht="21.75" customHeight="1">
      <c r="A398" s="20">
        <v>45945.0</v>
      </c>
      <c r="B398" s="21" t="s">
        <v>1096</v>
      </c>
      <c r="C398" s="21" t="s">
        <v>176</v>
      </c>
      <c r="D398" s="21" t="s">
        <v>175</v>
      </c>
      <c r="E398" s="21" t="s">
        <v>225</v>
      </c>
      <c r="F398" s="21" t="s">
        <v>563</v>
      </c>
      <c r="G398" s="22">
        <v>1.0</v>
      </c>
      <c r="H398" s="22" t="s">
        <v>177</v>
      </c>
      <c r="I398" s="23">
        <v>70.0</v>
      </c>
      <c r="J398" s="23">
        <f t="shared" si="10"/>
        <v>70</v>
      </c>
      <c r="K398" s="21" t="s">
        <v>104</v>
      </c>
    </row>
    <row r="399" ht="21.75" customHeight="1">
      <c r="A399" s="20">
        <v>45945.0</v>
      </c>
      <c r="B399" s="21" t="s">
        <v>1096</v>
      </c>
      <c r="C399" s="21" t="s">
        <v>176</v>
      </c>
      <c r="D399" s="21" t="s">
        <v>175</v>
      </c>
      <c r="E399" s="21" t="s">
        <v>174</v>
      </c>
      <c r="F399" s="21" t="s">
        <v>686</v>
      </c>
      <c r="G399" s="22">
        <v>25.0</v>
      </c>
      <c r="H399" s="22" t="s">
        <v>177</v>
      </c>
      <c r="I399" s="23">
        <v>6.95</v>
      </c>
      <c r="J399" s="23">
        <f t="shared" si="10"/>
        <v>173.75</v>
      </c>
      <c r="K399" s="21" t="s">
        <v>104</v>
      </c>
    </row>
    <row r="400" ht="21.75" customHeight="1">
      <c r="A400" s="20">
        <v>45945.0</v>
      </c>
      <c r="B400" s="21" t="s">
        <v>1096</v>
      </c>
      <c r="C400" s="21" t="s">
        <v>176</v>
      </c>
      <c r="D400" s="21" t="s">
        <v>175</v>
      </c>
      <c r="E400" s="21" t="s">
        <v>220</v>
      </c>
      <c r="F400" s="21" t="s">
        <v>513</v>
      </c>
      <c r="G400" s="22">
        <v>2.0</v>
      </c>
      <c r="H400" s="22" t="s">
        <v>177</v>
      </c>
      <c r="I400" s="23">
        <v>275.0</v>
      </c>
      <c r="J400" s="23">
        <f t="shared" si="10"/>
        <v>550</v>
      </c>
      <c r="K400" s="21" t="s">
        <v>104</v>
      </c>
    </row>
    <row r="401" ht="21.75" customHeight="1">
      <c r="A401" s="20">
        <v>45949.0</v>
      </c>
      <c r="B401" s="21" t="s">
        <v>1101</v>
      </c>
      <c r="C401" s="21" t="s">
        <v>157</v>
      </c>
      <c r="D401" s="21" t="s">
        <v>226</v>
      </c>
      <c r="E401" s="21" t="s">
        <v>1102</v>
      </c>
      <c r="F401" s="21"/>
      <c r="G401" s="22">
        <v>1.0</v>
      </c>
      <c r="H401" s="22" t="s">
        <v>239</v>
      </c>
      <c r="I401" s="21">
        <v>92.94</v>
      </c>
      <c r="J401" s="21">
        <v>92.94</v>
      </c>
      <c r="K401" s="21" t="s">
        <v>1103</v>
      </c>
    </row>
    <row r="402" ht="21.75" customHeight="1">
      <c r="A402" s="20">
        <v>45949.0</v>
      </c>
      <c r="B402" s="21" t="s">
        <v>1101</v>
      </c>
      <c r="C402" s="21" t="s">
        <v>157</v>
      </c>
      <c r="D402" s="21" t="s">
        <v>989</v>
      </c>
      <c r="E402" s="21" t="s">
        <v>1104</v>
      </c>
      <c r="F402" s="21"/>
      <c r="G402" s="22">
        <v>1.0</v>
      </c>
      <c r="H402" s="22" t="s">
        <v>239</v>
      </c>
      <c r="I402" s="21">
        <v>43.69</v>
      </c>
      <c r="J402" s="21">
        <v>43.69</v>
      </c>
      <c r="K402" s="21" t="s">
        <v>1105</v>
      </c>
    </row>
    <row r="403" ht="21.75" customHeight="1">
      <c r="A403" s="20">
        <v>45951.0</v>
      </c>
      <c r="B403" s="21" t="s">
        <v>1106</v>
      </c>
      <c r="C403" s="21" t="s">
        <v>157</v>
      </c>
      <c r="D403" s="21" t="s">
        <v>989</v>
      </c>
      <c r="E403" s="21" t="s">
        <v>1107</v>
      </c>
      <c r="F403" s="21"/>
      <c r="G403" s="22">
        <v>1.0</v>
      </c>
      <c r="H403" s="22" t="s">
        <v>239</v>
      </c>
      <c r="I403" s="21">
        <v>24.99</v>
      </c>
      <c r="J403" s="21">
        <v>24.99</v>
      </c>
      <c r="K403" s="21" t="s">
        <v>1109</v>
      </c>
    </row>
    <row r="404" ht="21.75" customHeight="1">
      <c r="A404" s="20">
        <v>45951.0</v>
      </c>
      <c r="B404" s="21" t="s">
        <v>1110</v>
      </c>
      <c r="C404" s="21" t="s">
        <v>157</v>
      </c>
      <c r="D404" s="21" t="s">
        <v>271</v>
      </c>
      <c r="E404" s="21" t="s">
        <v>1111</v>
      </c>
      <c r="F404" s="21"/>
      <c r="G404" s="22">
        <v>7.0</v>
      </c>
      <c r="H404" s="22" t="s">
        <v>239</v>
      </c>
      <c r="I404" s="21">
        <v>39.99</v>
      </c>
      <c r="J404" s="21">
        <v>279.93</v>
      </c>
      <c r="K404" s="21" t="s">
        <v>1112</v>
      </c>
    </row>
    <row r="405" ht="21.75" customHeight="1">
      <c r="A405" s="20">
        <v>45951.0</v>
      </c>
      <c r="B405" s="21" t="s">
        <v>1110</v>
      </c>
      <c r="C405" s="21" t="s">
        <v>157</v>
      </c>
      <c r="D405" s="21" t="s">
        <v>271</v>
      </c>
      <c r="E405" s="21" t="s">
        <v>1111</v>
      </c>
      <c r="F405" s="21"/>
      <c r="G405" s="22">
        <v>4.0</v>
      </c>
      <c r="H405" s="22" t="s">
        <v>239</v>
      </c>
      <c r="I405" s="21">
        <v>39.99</v>
      </c>
      <c r="J405" s="21">
        <v>159.96</v>
      </c>
      <c r="K405" s="21" t="s">
        <v>1112</v>
      </c>
    </row>
    <row r="406" ht="21.75" customHeight="1">
      <c r="A406" s="20">
        <v>45952.0</v>
      </c>
      <c r="B406" s="21" t="s">
        <v>1114</v>
      </c>
      <c r="C406" s="21" t="s">
        <v>157</v>
      </c>
      <c r="D406" s="21" t="s">
        <v>989</v>
      </c>
      <c r="E406" s="21" t="s">
        <v>1115</v>
      </c>
      <c r="F406" s="21"/>
      <c r="G406" s="22">
        <v>1.0</v>
      </c>
      <c r="H406" s="22" t="s">
        <v>239</v>
      </c>
      <c r="I406" s="21">
        <v>0.0</v>
      </c>
      <c r="J406" s="21">
        <v>0.0</v>
      </c>
      <c r="K406" s="21" t="s">
        <v>1116</v>
      </c>
    </row>
    <row r="407" ht="21.75" customHeight="1">
      <c r="A407" s="20">
        <v>45952.0</v>
      </c>
      <c r="B407" s="21" t="s">
        <v>1117</v>
      </c>
      <c r="C407" s="21" t="s">
        <v>157</v>
      </c>
      <c r="D407" s="21" t="s">
        <v>226</v>
      </c>
      <c r="E407" s="21" t="s">
        <v>1061</v>
      </c>
      <c r="F407" s="21"/>
      <c r="G407" s="22">
        <v>2.0</v>
      </c>
      <c r="H407" s="22" t="s">
        <v>239</v>
      </c>
      <c r="I407" s="21">
        <v>27.54</v>
      </c>
      <c r="J407" s="21">
        <v>55.08</v>
      </c>
      <c r="K407" s="21" t="s">
        <v>1119</v>
      </c>
    </row>
    <row r="408" ht="21.75" customHeight="1">
      <c r="A408" s="20">
        <v>45952.0</v>
      </c>
      <c r="B408" s="21" t="s">
        <v>1117</v>
      </c>
      <c r="C408" s="21" t="s">
        <v>157</v>
      </c>
      <c r="D408" s="21" t="s">
        <v>271</v>
      </c>
      <c r="E408" s="21" t="s">
        <v>1120</v>
      </c>
      <c r="F408" s="21"/>
      <c r="G408" s="22">
        <v>1.0</v>
      </c>
      <c r="H408" s="22" t="s">
        <v>239</v>
      </c>
      <c r="I408" s="21">
        <v>6.78</v>
      </c>
      <c r="J408" s="21">
        <v>6.78</v>
      </c>
      <c r="K408" s="21" t="s">
        <v>1121</v>
      </c>
    </row>
    <row r="409" ht="21.75" customHeight="1">
      <c r="A409" s="20">
        <v>45954.0</v>
      </c>
      <c r="B409" s="21" t="s">
        <v>1122</v>
      </c>
      <c r="C409" s="21" t="s">
        <v>157</v>
      </c>
      <c r="D409" s="21" t="s">
        <v>271</v>
      </c>
      <c r="E409" s="21" t="s">
        <v>1123</v>
      </c>
      <c r="F409" s="21"/>
      <c r="G409" s="22">
        <v>1.0</v>
      </c>
      <c r="H409" s="22" t="s">
        <v>239</v>
      </c>
      <c r="I409" s="21">
        <v>12.99</v>
      </c>
      <c r="J409" s="21">
        <v>12.99</v>
      </c>
      <c r="K409" s="21" t="s">
        <v>1124</v>
      </c>
    </row>
    <row r="410" ht="21.75" customHeight="1">
      <c r="A410" s="20">
        <v>45954.0</v>
      </c>
      <c r="B410" s="21" t="s">
        <v>1122</v>
      </c>
      <c r="C410" s="21" t="s">
        <v>157</v>
      </c>
      <c r="D410" s="21" t="s">
        <v>271</v>
      </c>
      <c r="E410" s="21" t="s">
        <v>1000</v>
      </c>
      <c r="F410" s="21"/>
      <c r="G410" s="22">
        <v>2.0</v>
      </c>
      <c r="H410" s="22" t="s">
        <v>239</v>
      </c>
      <c r="I410" s="21">
        <v>7.49</v>
      </c>
      <c r="J410" s="21">
        <v>14.98</v>
      </c>
      <c r="K410" s="21" t="s">
        <v>1125</v>
      </c>
    </row>
    <row r="411" ht="21.75" customHeight="1">
      <c r="A411" s="20">
        <v>45958.0</v>
      </c>
      <c r="B411" s="21" t="s">
        <v>1126</v>
      </c>
      <c r="C411" s="21" t="s">
        <v>157</v>
      </c>
      <c r="D411" s="21" t="s">
        <v>42</v>
      </c>
      <c r="E411" s="21" t="s">
        <v>1127</v>
      </c>
      <c r="F411" s="21"/>
      <c r="G411" s="22">
        <v>10.0</v>
      </c>
      <c r="H411" s="22" t="s">
        <v>239</v>
      </c>
      <c r="I411" s="58">
        <v>7.42</v>
      </c>
      <c r="J411" s="58">
        <v>74.2</v>
      </c>
      <c r="K411" s="21" t="s">
        <v>1129</v>
      </c>
    </row>
    <row r="412" ht="21.75" customHeight="1">
      <c r="A412" s="20">
        <v>45959.0</v>
      </c>
      <c r="B412" s="21" t="s">
        <v>1130</v>
      </c>
      <c r="C412" s="21" t="s">
        <v>157</v>
      </c>
      <c r="D412" s="21" t="s">
        <v>271</v>
      </c>
      <c r="E412" s="21" t="s">
        <v>1131</v>
      </c>
      <c r="F412" s="21"/>
      <c r="G412" s="22">
        <v>2.0</v>
      </c>
      <c r="H412" s="22" t="s">
        <v>239</v>
      </c>
      <c r="I412" s="58">
        <v>13.49</v>
      </c>
      <c r="J412" s="58">
        <v>26.98</v>
      </c>
      <c r="K412" s="21" t="s">
        <v>1132</v>
      </c>
    </row>
    <row r="413" ht="21.75" customHeight="1">
      <c r="A413" s="20">
        <v>45959.0</v>
      </c>
      <c r="B413" s="21" t="s">
        <v>1130</v>
      </c>
      <c r="C413" s="21" t="s">
        <v>157</v>
      </c>
      <c r="D413" s="21" t="s">
        <v>271</v>
      </c>
      <c r="E413" s="21" t="s">
        <v>1131</v>
      </c>
      <c r="F413" s="21"/>
      <c r="G413" s="22">
        <v>2.0</v>
      </c>
      <c r="H413" s="22" t="s">
        <v>239</v>
      </c>
      <c r="I413" s="58">
        <v>13.49</v>
      </c>
      <c r="J413" s="58">
        <v>26.98</v>
      </c>
      <c r="K413" s="21" t="s">
        <v>1132</v>
      </c>
    </row>
    <row r="414" ht="21.75" customHeight="1">
      <c r="A414" s="20">
        <v>45959.0</v>
      </c>
      <c r="B414" s="21" t="s">
        <v>1130</v>
      </c>
      <c r="C414" s="21" t="s">
        <v>157</v>
      </c>
      <c r="D414" s="21" t="s">
        <v>271</v>
      </c>
      <c r="E414" s="21" t="s">
        <v>1131</v>
      </c>
      <c r="F414" s="21"/>
      <c r="G414" s="22">
        <v>2.0</v>
      </c>
      <c r="H414" s="22" t="s">
        <v>239</v>
      </c>
      <c r="I414" s="58">
        <v>13.49</v>
      </c>
      <c r="J414" s="58">
        <v>26.98</v>
      </c>
      <c r="K414" s="21" t="s">
        <v>1132</v>
      </c>
    </row>
    <row r="415" ht="21.75" customHeight="1">
      <c r="A415" s="20">
        <v>45962.0</v>
      </c>
      <c r="B415" s="21" t="s">
        <v>1134</v>
      </c>
      <c r="C415" s="21" t="s">
        <v>157</v>
      </c>
      <c r="D415" s="21" t="s">
        <v>271</v>
      </c>
      <c r="E415" s="21" t="s">
        <v>1037</v>
      </c>
      <c r="F415" s="21"/>
      <c r="G415" s="22">
        <v>1.0</v>
      </c>
      <c r="H415" s="22" t="s">
        <v>239</v>
      </c>
      <c r="I415" s="58">
        <v>12.73</v>
      </c>
      <c r="J415" s="58">
        <v>12.73</v>
      </c>
      <c r="K415" s="21" t="s">
        <v>1135</v>
      </c>
    </row>
    <row r="416" ht="21.75" customHeight="1">
      <c r="A416" s="20">
        <v>45962.0</v>
      </c>
      <c r="B416" s="21" t="s">
        <v>1134</v>
      </c>
      <c r="C416" s="21" t="s">
        <v>157</v>
      </c>
      <c r="D416" s="21" t="s">
        <v>989</v>
      </c>
      <c r="E416" s="21" t="s">
        <v>1136</v>
      </c>
      <c r="F416" s="21"/>
      <c r="G416" s="22">
        <v>2.0</v>
      </c>
      <c r="H416" s="22" t="s">
        <v>239</v>
      </c>
      <c r="I416" s="58">
        <v>8.11</v>
      </c>
      <c r="J416" s="58">
        <v>16.22</v>
      </c>
      <c r="K416" s="21" t="s">
        <v>1137</v>
      </c>
    </row>
    <row r="417" ht="21.75" customHeight="1">
      <c r="A417" s="20">
        <v>45962.0</v>
      </c>
      <c r="B417" s="21" t="s">
        <v>1134</v>
      </c>
      <c r="C417" s="21" t="s">
        <v>157</v>
      </c>
      <c r="D417" s="21" t="s">
        <v>226</v>
      </c>
      <c r="E417" s="21" t="s">
        <v>1138</v>
      </c>
      <c r="F417" s="21"/>
      <c r="G417" s="22">
        <v>1.0</v>
      </c>
      <c r="H417" s="22" t="s">
        <v>239</v>
      </c>
      <c r="I417" s="58">
        <v>16.98</v>
      </c>
      <c r="J417" s="58">
        <v>16.98</v>
      </c>
      <c r="K417" s="21" t="s">
        <v>1139</v>
      </c>
    </row>
    <row r="418" ht="21.75" customHeight="1">
      <c r="A418" s="20">
        <v>45965.0</v>
      </c>
      <c r="B418" s="21" t="s">
        <v>1140</v>
      </c>
      <c r="C418" s="21" t="s">
        <v>157</v>
      </c>
      <c r="D418" s="21" t="s">
        <v>226</v>
      </c>
      <c r="E418" s="21" t="s">
        <v>1141</v>
      </c>
      <c r="F418" s="21"/>
      <c r="G418" s="22">
        <v>1.0</v>
      </c>
      <c r="H418" s="22" t="s">
        <v>239</v>
      </c>
      <c r="I418" s="58">
        <v>56.99</v>
      </c>
      <c r="J418" s="58">
        <v>56.99</v>
      </c>
      <c r="K418" s="21" t="s">
        <v>1142</v>
      </c>
    </row>
    <row r="419" ht="21.75" customHeight="1">
      <c r="A419" s="20">
        <v>45965.0</v>
      </c>
      <c r="B419" s="21" t="s">
        <v>1143</v>
      </c>
      <c r="C419" s="21" t="s">
        <v>157</v>
      </c>
      <c r="D419" s="21" t="s">
        <v>271</v>
      </c>
      <c r="E419" s="21" t="s">
        <v>1144</v>
      </c>
      <c r="F419" s="21"/>
      <c r="G419" s="22">
        <v>1.0</v>
      </c>
      <c r="H419" s="22" t="s">
        <v>239</v>
      </c>
      <c r="I419" s="58">
        <v>20.57</v>
      </c>
      <c r="J419" s="58">
        <v>20.57</v>
      </c>
      <c r="K419" s="21" t="s">
        <v>1145</v>
      </c>
    </row>
    <row r="420" ht="21.75" customHeight="1">
      <c r="A420" s="20">
        <v>45965.0</v>
      </c>
      <c r="B420" s="21" t="s">
        <v>1143</v>
      </c>
      <c r="C420" s="21" t="s">
        <v>157</v>
      </c>
      <c r="D420" s="21" t="s">
        <v>271</v>
      </c>
      <c r="E420" s="21" t="s">
        <v>1146</v>
      </c>
      <c r="F420" s="21"/>
      <c r="G420" s="22">
        <v>1.0</v>
      </c>
      <c r="H420" s="22" t="s">
        <v>239</v>
      </c>
      <c r="I420" s="58">
        <v>27.5</v>
      </c>
      <c r="J420" s="58">
        <v>27.5</v>
      </c>
      <c r="K420" s="21" t="s">
        <v>1147</v>
      </c>
    </row>
    <row r="421" ht="21.75" customHeight="1">
      <c r="A421" s="20">
        <v>45965.0</v>
      </c>
      <c r="B421" s="21" t="s">
        <v>1143</v>
      </c>
      <c r="C421" s="21" t="s">
        <v>157</v>
      </c>
      <c r="D421" s="21" t="s">
        <v>226</v>
      </c>
      <c r="E421" s="21" t="s">
        <v>1149</v>
      </c>
      <c r="F421" s="21"/>
      <c r="G421" s="22">
        <v>6.0</v>
      </c>
      <c r="H421" s="22" t="s">
        <v>239</v>
      </c>
      <c r="I421" s="58">
        <v>23.69</v>
      </c>
      <c r="J421" s="58">
        <v>135.03</v>
      </c>
      <c r="K421" s="21" t="s">
        <v>1150</v>
      </c>
    </row>
    <row r="422" ht="21.75" customHeight="1">
      <c r="A422" s="20">
        <v>45965.0</v>
      </c>
      <c r="B422" s="21" t="s">
        <v>1151</v>
      </c>
      <c r="C422" s="21" t="s">
        <v>157</v>
      </c>
      <c r="D422" s="21" t="s">
        <v>271</v>
      </c>
      <c r="E422" s="21" t="s">
        <v>1152</v>
      </c>
      <c r="F422" s="21"/>
      <c r="G422" s="22">
        <v>1.0</v>
      </c>
      <c r="H422" s="22" t="s">
        <v>239</v>
      </c>
      <c r="I422" s="58">
        <v>0.0</v>
      </c>
      <c r="J422" s="58">
        <v>13.95</v>
      </c>
      <c r="K422" s="21" t="s">
        <v>1153</v>
      </c>
    </row>
    <row r="423" ht="21.75" customHeight="1">
      <c r="A423" s="20">
        <v>45966.0</v>
      </c>
      <c r="B423" s="21" t="s">
        <v>1155</v>
      </c>
      <c r="C423" s="21" t="s">
        <v>157</v>
      </c>
      <c r="D423" s="21" t="s">
        <v>226</v>
      </c>
      <c r="E423" s="21" t="s">
        <v>1156</v>
      </c>
      <c r="F423" s="21"/>
      <c r="G423" s="22">
        <v>2.0</v>
      </c>
      <c r="H423" s="22" t="s">
        <v>239</v>
      </c>
      <c r="I423" s="58">
        <v>28.12</v>
      </c>
      <c r="J423" s="58">
        <v>56.24</v>
      </c>
      <c r="K423" s="21" t="s">
        <v>1157</v>
      </c>
    </row>
    <row r="424" ht="21.75" customHeight="1">
      <c r="A424" s="20">
        <v>45966.0</v>
      </c>
      <c r="B424" s="21" t="s">
        <v>1158</v>
      </c>
      <c r="C424" s="21" t="s">
        <v>157</v>
      </c>
      <c r="D424" s="21" t="s">
        <v>452</v>
      </c>
      <c r="E424" s="21" t="s">
        <v>1159</v>
      </c>
      <c r="F424" s="21"/>
      <c r="G424" s="22">
        <v>1.0</v>
      </c>
      <c r="H424" s="22" t="s">
        <v>239</v>
      </c>
      <c r="I424" s="58">
        <v>58.99</v>
      </c>
      <c r="J424" s="58">
        <v>58.99</v>
      </c>
      <c r="K424" s="21" t="s">
        <v>1160</v>
      </c>
    </row>
    <row r="425" ht="21.75" customHeight="1">
      <c r="A425" s="20">
        <v>45967.0</v>
      </c>
      <c r="B425" s="21" t="s">
        <v>1161</v>
      </c>
      <c r="C425" s="21" t="s">
        <v>157</v>
      </c>
      <c r="D425" s="21" t="s">
        <v>42</v>
      </c>
      <c r="E425" s="21" t="s">
        <v>1162</v>
      </c>
      <c r="F425" s="21"/>
      <c r="G425" s="22">
        <v>2.0</v>
      </c>
      <c r="H425" s="22" t="s">
        <v>239</v>
      </c>
      <c r="I425" s="58">
        <v>92.58</v>
      </c>
      <c r="J425" s="58">
        <v>185.16</v>
      </c>
      <c r="K425" s="21" t="s">
        <v>1163</v>
      </c>
    </row>
    <row r="426" ht="21.75" customHeight="1">
      <c r="A426" s="20">
        <v>45967.0</v>
      </c>
      <c r="B426" s="21" t="s">
        <v>1161</v>
      </c>
      <c r="C426" s="21" t="s">
        <v>157</v>
      </c>
      <c r="D426" s="21" t="s">
        <v>271</v>
      </c>
      <c r="E426" s="21" t="s">
        <v>1164</v>
      </c>
      <c r="F426" s="21"/>
      <c r="G426" s="22">
        <v>1.0</v>
      </c>
      <c r="H426" s="22" t="s">
        <v>239</v>
      </c>
      <c r="I426" s="58">
        <v>44.99</v>
      </c>
      <c r="J426" s="58">
        <v>44.99</v>
      </c>
      <c r="K426" s="21" t="s">
        <v>1165</v>
      </c>
    </row>
    <row r="427" ht="21.75" customHeight="1">
      <c r="A427" s="20">
        <v>45967.0</v>
      </c>
      <c r="B427" s="21" t="s">
        <v>1161</v>
      </c>
      <c r="C427" s="21" t="s">
        <v>157</v>
      </c>
      <c r="D427" s="21" t="s">
        <v>226</v>
      </c>
      <c r="E427" s="21" t="s">
        <v>1166</v>
      </c>
      <c r="F427" s="21"/>
      <c r="G427" s="22">
        <v>2.0</v>
      </c>
      <c r="H427" s="22" t="s">
        <v>239</v>
      </c>
      <c r="I427" s="58">
        <v>3.62</v>
      </c>
      <c r="J427" s="58">
        <v>7.24</v>
      </c>
      <c r="K427" s="21" t="s">
        <v>1167</v>
      </c>
    </row>
    <row r="428" ht="21.75" customHeight="1">
      <c r="A428" s="20">
        <v>45967.0</v>
      </c>
      <c r="B428" s="21" t="s">
        <v>1161</v>
      </c>
      <c r="C428" s="21" t="s">
        <v>157</v>
      </c>
      <c r="D428" s="21" t="s">
        <v>271</v>
      </c>
      <c r="E428" s="21" t="s">
        <v>1057</v>
      </c>
      <c r="F428" s="21"/>
      <c r="G428" s="22">
        <v>1.0</v>
      </c>
      <c r="H428" s="22" t="s">
        <v>239</v>
      </c>
      <c r="I428" s="58">
        <v>33.83</v>
      </c>
      <c r="J428" s="58">
        <v>33.83</v>
      </c>
      <c r="K428" s="21" t="s">
        <v>104</v>
      </c>
    </row>
    <row r="429" ht="21.75" customHeight="1">
      <c r="A429" s="20">
        <v>45969.0</v>
      </c>
      <c r="B429" s="21" t="s">
        <v>1168</v>
      </c>
      <c r="C429" s="21" t="s">
        <v>157</v>
      </c>
      <c r="D429" s="21" t="s">
        <v>226</v>
      </c>
      <c r="E429" s="21" t="s">
        <v>1169</v>
      </c>
      <c r="F429" s="21"/>
      <c r="G429" s="22">
        <v>1.0</v>
      </c>
      <c r="H429" s="22" t="s">
        <v>239</v>
      </c>
      <c r="I429" s="58">
        <v>0.0</v>
      </c>
      <c r="J429" s="58">
        <v>6.79</v>
      </c>
      <c r="K429" s="21" t="s">
        <v>1170</v>
      </c>
    </row>
    <row r="430" ht="21.75" customHeight="1">
      <c r="A430" s="20">
        <v>45969.0</v>
      </c>
      <c r="B430" s="21" t="s">
        <v>1171</v>
      </c>
      <c r="C430" s="21" t="s">
        <v>157</v>
      </c>
      <c r="D430" s="21" t="s">
        <v>271</v>
      </c>
      <c r="E430" s="21" t="s">
        <v>1172</v>
      </c>
      <c r="F430" s="21"/>
      <c r="G430" s="22">
        <v>2.0</v>
      </c>
      <c r="H430" s="22" t="s">
        <v>239</v>
      </c>
      <c r="I430" s="58">
        <v>4.99</v>
      </c>
      <c r="J430" s="58">
        <v>9.98</v>
      </c>
      <c r="K430" s="21" t="s">
        <v>1173</v>
      </c>
    </row>
    <row r="431" ht="21.75" customHeight="1">
      <c r="A431" s="20">
        <v>45969.0</v>
      </c>
      <c r="B431" s="21" t="s">
        <v>1171</v>
      </c>
      <c r="C431" s="21" t="s">
        <v>157</v>
      </c>
      <c r="D431" s="21" t="s">
        <v>271</v>
      </c>
      <c r="E431" s="21" t="s">
        <v>1174</v>
      </c>
      <c r="F431" s="21"/>
      <c r="G431" s="22">
        <v>1.0</v>
      </c>
      <c r="H431" s="22" t="s">
        <v>239</v>
      </c>
      <c r="I431" s="58">
        <v>6.99</v>
      </c>
      <c r="J431" s="58">
        <v>6.99</v>
      </c>
      <c r="K431" s="21" t="s">
        <v>1175</v>
      </c>
    </row>
    <row r="432" ht="21.75" customHeight="1">
      <c r="A432" s="20">
        <v>45969.0</v>
      </c>
      <c r="B432" s="21" t="s">
        <v>1171</v>
      </c>
      <c r="C432" s="21" t="s">
        <v>157</v>
      </c>
      <c r="D432" s="21" t="s">
        <v>226</v>
      </c>
      <c r="E432" s="21" t="s">
        <v>1176</v>
      </c>
      <c r="F432" s="21"/>
      <c r="G432" s="22">
        <v>1.0</v>
      </c>
      <c r="H432" s="22" t="s">
        <v>239</v>
      </c>
      <c r="I432" s="58">
        <v>22.49</v>
      </c>
      <c r="J432" s="58">
        <v>22.49</v>
      </c>
      <c r="K432" s="21" t="s">
        <v>1177</v>
      </c>
    </row>
    <row r="433" ht="21.75" customHeight="1">
      <c r="A433" s="20">
        <v>45969.0</v>
      </c>
      <c r="B433" s="21" t="s">
        <v>1171</v>
      </c>
      <c r="C433" s="21" t="s">
        <v>157</v>
      </c>
      <c r="D433" s="21" t="s">
        <v>271</v>
      </c>
      <c r="E433" s="21" t="s">
        <v>1179</v>
      </c>
      <c r="F433" s="21"/>
      <c r="G433" s="22">
        <v>1.0</v>
      </c>
      <c r="H433" s="22" t="s">
        <v>239</v>
      </c>
      <c r="I433" s="58">
        <v>8.99</v>
      </c>
      <c r="J433" s="58">
        <v>8.99</v>
      </c>
      <c r="K433" s="21" t="s">
        <v>1180</v>
      </c>
    </row>
    <row r="434" ht="21.75" customHeight="1">
      <c r="A434" s="20">
        <v>45969.0</v>
      </c>
      <c r="B434" s="21" t="s">
        <v>1171</v>
      </c>
      <c r="C434" s="21" t="s">
        <v>157</v>
      </c>
      <c r="D434" s="21" t="s">
        <v>271</v>
      </c>
      <c r="E434" s="21" t="s">
        <v>1181</v>
      </c>
      <c r="F434" s="21"/>
      <c r="G434" s="22">
        <v>1.0</v>
      </c>
      <c r="H434" s="22" t="s">
        <v>239</v>
      </c>
      <c r="I434" s="58">
        <v>42.0</v>
      </c>
      <c r="J434" s="58">
        <v>42.0</v>
      </c>
      <c r="K434" s="21" t="s">
        <v>1182</v>
      </c>
    </row>
    <row r="435" ht="21.75" customHeight="1">
      <c r="A435" s="20">
        <v>45969.0</v>
      </c>
      <c r="B435" s="21" t="s">
        <v>1171</v>
      </c>
      <c r="C435" s="21" t="s">
        <v>157</v>
      </c>
      <c r="D435" s="21" t="s">
        <v>271</v>
      </c>
      <c r="E435" s="21" t="s">
        <v>1172</v>
      </c>
      <c r="F435" s="21"/>
      <c r="G435" s="22">
        <v>2.0</v>
      </c>
      <c r="H435" s="22" t="s">
        <v>239</v>
      </c>
      <c r="I435" s="58">
        <v>4.99</v>
      </c>
      <c r="J435" s="58">
        <v>9.98</v>
      </c>
      <c r="K435" s="21" t="s">
        <v>1173</v>
      </c>
    </row>
    <row r="436" ht="21.75" customHeight="1">
      <c r="A436" s="20">
        <v>45969.0</v>
      </c>
      <c r="B436" s="21" t="s">
        <v>1171</v>
      </c>
      <c r="C436" s="21" t="s">
        <v>157</v>
      </c>
      <c r="D436" s="21" t="s">
        <v>271</v>
      </c>
      <c r="E436" s="21" t="s">
        <v>1174</v>
      </c>
      <c r="F436" s="21"/>
      <c r="G436" s="22">
        <v>1.0</v>
      </c>
      <c r="H436" s="22" t="s">
        <v>239</v>
      </c>
      <c r="I436" s="58">
        <v>6.99</v>
      </c>
      <c r="J436" s="58">
        <v>6.99</v>
      </c>
      <c r="K436" s="21" t="s">
        <v>1175</v>
      </c>
    </row>
    <row r="437" ht="21.75" customHeight="1">
      <c r="A437" s="20">
        <v>45969.0</v>
      </c>
      <c r="B437" s="21" t="s">
        <v>1171</v>
      </c>
      <c r="C437" s="21" t="s">
        <v>157</v>
      </c>
      <c r="D437" s="21" t="s">
        <v>226</v>
      </c>
      <c r="E437" s="21" t="s">
        <v>1176</v>
      </c>
      <c r="F437" s="21"/>
      <c r="G437" s="22">
        <v>1.0</v>
      </c>
      <c r="H437" s="22" t="s">
        <v>239</v>
      </c>
      <c r="I437" s="58">
        <v>22.49</v>
      </c>
      <c r="J437" s="58">
        <v>22.49</v>
      </c>
      <c r="K437" s="21" t="s">
        <v>1177</v>
      </c>
    </row>
    <row r="438" ht="21.75" customHeight="1">
      <c r="A438" s="20">
        <v>45969.0</v>
      </c>
      <c r="B438" s="21" t="s">
        <v>1171</v>
      </c>
      <c r="C438" s="21" t="s">
        <v>157</v>
      </c>
      <c r="D438" s="21" t="s">
        <v>271</v>
      </c>
      <c r="E438" s="21" t="s">
        <v>1179</v>
      </c>
      <c r="F438" s="21"/>
      <c r="G438" s="22">
        <v>1.0</v>
      </c>
      <c r="H438" s="22" t="s">
        <v>239</v>
      </c>
      <c r="I438" s="58">
        <v>8.99</v>
      </c>
      <c r="J438" s="58">
        <v>8.99</v>
      </c>
      <c r="K438" s="21" t="s">
        <v>1180</v>
      </c>
    </row>
    <row r="439" ht="21.75" customHeight="1">
      <c r="A439" s="20">
        <v>45969.0</v>
      </c>
      <c r="B439" s="21" t="s">
        <v>1171</v>
      </c>
      <c r="C439" s="21" t="s">
        <v>157</v>
      </c>
      <c r="D439" s="21" t="s">
        <v>271</v>
      </c>
      <c r="E439" s="21" t="s">
        <v>1181</v>
      </c>
      <c r="F439" s="21"/>
      <c r="G439" s="22">
        <v>1.0</v>
      </c>
      <c r="H439" s="22" t="s">
        <v>239</v>
      </c>
      <c r="I439" s="58">
        <v>42.0</v>
      </c>
      <c r="J439" s="58">
        <v>42.0</v>
      </c>
      <c r="K439" s="21" t="s">
        <v>1182</v>
      </c>
    </row>
    <row r="440" ht="21.75" customHeight="1">
      <c r="A440" s="20">
        <v>45972.0</v>
      </c>
      <c r="B440" s="21" t="s">
        <v>1183</v>
      </c>
      <c r="C440" s="21" t="s">
        <v>157</v>
      </c>
      <c r="D440" s="21" t="s">
        <v>226</v>
      </c>
      <c r="E440" s="21" t="s">
        <v>1053</v>
      </c>
      <c r="F440" s="21"/>
      <c r="G440" s="22">
        <v>8.0</v>
      </c>
      <c r="H440" s="22" t="s">
        <v>239</v>
      </c>
      <c r="I440" s="58">
        <v>19.59</v>
      </c>
      <c r="J440" s="58">
        <v>156.72</v>
      </c>
      <c r="K440" s="21" t="s">
        <v>1184</v>
      </c>
    </row>
    <row r="441" ht="21.75" customHeight="1">
      <c r="A441" s="20">
        <v>45972.0</v>
      </c>
      <c r="B441" s="21" t="s">
        <v>1185</v>
      </c>
      <c r="C441" s="21" t="s">
        <v>157</v>
      </c>
      <c r="D441" s="21" t="s">
        <v>226</v>
      </c>
      <c r="E441" s="21" t="s">
        <v>1053</v>
      </c>
      <c r="F441" s="21"/>
      <c r="G441" s="22">
        <v>2.0</v>
      </c>
      <c r="H441" s="22" t="s">
        <v>239</v>
      </c>
      <c r="I441" s="58">
        <v>19.99</v>
      </c>
      <c r="J441" s="58">
        <v>39.98</v>
      </c>
      <c r="K441" s="21" t="s">
        <v>1184</v>
      </c>
    </row>
    <row r="442" ht="21.75" customHeight="1">
      <c r="A442" s="20">
        <v>45973.0</v>
      </c>
      <c r="B442" s="21" t="s">
        <v>1187</v>
      </c>
      <c r="C442" s="21" t="s">
        <v>176</v>
      </c>
      <c r="D442" s="21" t="s">
        <v>175</v>
      </c>
      <c r="E442" s="21" t="s">
        <v>287</v>
      </c>
      <c r="F442" s="21" t="s">
        <v>1188</v>
      </c>
      <c r="G442" s="22">
        <v>2.0</v>
      </c>
      <c r="H442" s="22" t="s">
        <v>177</v>
      </c>
      <c r="I442" s="58">
        <v>8.5</v>
      </c>
      <c r="J442" s="58">
        <f t="shared" ref="J442:J444" si="11">G442*I442</f>
        <v>17</v>
      </c>
      <c r="K442" s="21" t="s">
        <v>1189</v>
      </c>
    </row>
    <row r="443" ht="21.75" customHeight="1">
      <c r="A443" s="20">
        <v>45973.0</v>
      </c>
      <c r="B443" s="21" t="s">
        <v>1187</v>
      </c>
      <c r="C443" s="21" t="s">
        <v>176</v>
      </c>
      <c r="D443" s="21" t="s">
        <v>175</v>
      </c>
      <c r="E443" s="21" t="s">
        <v>953</v>
      </c>
      <c r="F443" s="21" t="s">
        <v>978</v>
      </c>
      <c r="G443" s="22">
        <v>2.0</v>
      </c>
      <c r="H443" s="22" t="s">
        <v>177</v>
      </c>
      <c r="I443" s="58">
        <v>16.99</v>
      </c>
      <c r="J443" s="58">
        <f t="shared" si="11"/>
        <v>33.98</v>
      </c>
      <c r="K443" s="21" t="s">
        <v>1190</v>
      </c>
    </row>
    <row r="444" ht="21.75" customHeight="1">
      <c r="A444" s="20">
        <v>45973.0</v>
      </c>
      <c r="B444" s="21" t="s">
        <v>1187</v>
      </c>
      <c r="C444" s="21" t="s">
        <v>176</v>
      </c>
      <c r="D444" s="21" t="s">
        <v>175</v>
      </c>
      <c r="E444" s="21" t="s">
        <v>1191</v>
      </c>
      <c r="F444" s="21" t="s">
        <v>1192</v>
      </c>
      <c r="G444" s="22">
        <v>1.0</v>
      </c>
      <c r="H444" s="22" t="s">
        <v>177</v>
      </c>
      <c r="I444" s="58">
        <v>59.99</v>
      </c>
      <c r="J444" s="58">
        <f t="shared" si="11"/>
        <v>59.99</v>
      </c>
      <c r="K444" s="21" t="s">
        <v>1147</v>
      </c>
    </row>
    <row r="445" ht="21.75" customHeight="1">
      <c r="A445" s="20">
        <v>45973.0</v>
      </c>
      <c r="B445" s="21" t="s">
        <v>1193</v>
      </c>
      <c r="C445" s="21" t="s">
        <v>157</v>
      </c>
      <c r="D445" s="21" t="s">
        <v>271</v>
      </c>
      <c r="E445" s="21" t="s">
        <v>1194</v>
      </c>
      <c r="F445" s="21"/>
      <c r="G445" s="22">
        <v>1.0</v>
      </c>
      <c r="H445" s="22" t="s">
        <v>239</v>
      </c>
      <c r="I445" s="58">
        <v>20.85</v>
      </c>
      <c r="J445" s="58">
        <v>20.85</v>
      </c>
      <c r="K445" s="21" t="s">
        <v>1195</v>
      </c>
    </row>
    <row r="446" ht="21.75" customHeight="1">
      <c r="A446" s="20">
        <v>45973.0</v>
      </c>
      <c r="B446" s="21" t="s">
        <v>1196</v>
      </c>
      <c r="C446" s="21" t="s">
        <v>157</v>
      </c>
      <c r="D446" s="21" t="s">
        <v>452</v>
      </c>
      <c r="E446" s="21" t="s">
        <v>1197</v>
      </c>
      <c r="F446" s="21"/>
      <c r="G446" s="22">
        <v>2.0</v>
      </c>
      <c r="H446" s="22" t="s">
        <v>239</v>
      </c>
      <c r="I446" s="58">
        <v>44.63</v>
      </c>
      <c r="J446" s="58">
        <v>84.8</v>
      </c>
      <c r="K446" s="21" t="s">
        <v>1199</v>
      </c>
    </row>
    <row r="447" ht="21.75" customHeight="1">
      <c r="A447" s="20">
        <v>45973.0</v>
      </c>
      <c r="B447" s="21" t="s">
        <v>1196</v>
      </c>
      <c r="C447" s="21" t="s">
        <v>157</v>
      </c>
      <c r="D447" s="21" t="s">
        <v>226</v>
      </c>
      <c r="E447" s="21" t="s">
        <v>1200</v>
      </c>
      <c r="F447" s="21"/>
      <c r="G447" s="22">
        <v>2.0</v>
      </c>
      <c r="H447" s="22" t="s">
        <v>239</v>
      </c>
      <c r="I447" s="58">
        <v>19.38</v>
      </c>
      <c r="J447" s="58">
        <v>38.76</v>
      </c>
      <c r="K447" s="21" t="s">
        <v>1201</v>
      </c>
    </row>
    <row r="448" ht="21.75" customHeight="1">
      <c r="A448" s="20">
        <v>45973.0</v>
      </c>
      <c r="B448" s="21" t="s">
        <v>1196</v>
      </c>
      <c r="C448" s="21" t="s">
        <v>157</v>
      </c>
      <c r="D448" s="21" t="s">
        <v>226</v>
      </c>
      <c r="E448" s="21" t="s">
        <v>1203</v>
      </c>
      <c r="F448" s="21"/>
      <c r="G448" s="22">
        <v>1.0</v>
      </c>
      <c r="H448" s="22" t="s">
        <v>239</v>
      </c>
      <c r="I448" s="58">
        <v>17.63</v>
      </c>
      <c r="J448" s="58">
        <v>17.63</v>
      </c>
      <c r="K448" s="21" t="s">
        <v>1204</v>
      </c>
    </row>
    <row r="449" ht="21.75" customHeight="1">
      <c r="A449" s="20">
        <v>45973.0</v>
      </c>
      <c r="B449" s="21" t="s">
        <v>1205</v>
      </c>
      <c r="C449" s="21" t="s">
        <v>157</v>
      </c>
      <c r="D449" s="21" t="s">
        <v>42</v>
      </c>
      <c r="E449" s="21" t="s">
        <v>1127</v>
      </c>
      <c r="F449" s="21"/>
      <c r="G449" s="22">
        <v>10.0</v>
      </c>
      <c r="H449" s="22" t="s">
        <v>239</v>
      </c>
      <c r="I449" s="58">
        <v>7.42</v>
      </c>
      <c r="J449" s="58">
        <v>74.2</v>
      </c>
      <c r="K449" s="21" t="s">
        <v>1129</v>
      </c>
    </row>
    <row r="450" ht="21.75" customHeight="1">
      <c r="A450" s="20">
        <v>45973.0</v>
      </c>
      <c r="B450" s="21" t="s">
        <v>1206</v>
      </c>
      <c r="C450" s="21" t="s">
        <v>157</v>
      </c>
      <c r="D450" s="21" t="s">
        <v>452</v>
      </c>
      <c r="E450" s="21" t="s">
        <v>1054</v>
      </c>
      <c r="F450" s="21"/>
      <c r="G450" s="22">
        <v>6.0</v>
      </c>
      <c r="H450" s="22" t="s">
        <v>239</v>
      </c>
      <c r="I450" s="58">
        <v>14.06</v>
      </c>
      <c r="J450" s="58">
        <v>84.36</v>
      </c>
      <c r="K450" s="21" t="s">
        <v>1207</v>
      </c>
    </row>
    <row r="451" ht="21.75" customHeight="1">
      <c r="A451" s="20">
        <v>45980.0</v>
      </c>
      <c r="B451" s="21" t="s">
        <v>1208</v>
      </c>
      <c r="C451" s="21" t="s">
        <v>157</v>
      </c>
      <c r="D451" s="21" t="s">
        <v>452</v>
      </c>
      <c r="E451" s="21" t="s">
        <v>1209</v>
      </c>
      <c r="F451" s="21"/>
      <c r="G451" s="22">
        <v>2.0</v>
      </c>
      <c r="H451" s="22" t="s">
        <v>239</v>
      </c>
      <c r="I451" s="58">
        <v>26.99</v>
      </c>
      <c r="J451" s="58">
        <v>53.98</v>
      </c>
      <c r="K451" s="21" t="s">
        <v>1210</v>
      </c>
    </row>
    <row r="452" ht="21.75" customHeight="1">
      <c r="A452" s="20">
        <v>45981.0</v>
      </c>
      <c r="B452" s="21" t="s">
        <v>1211</v>
      </c>
      <c r="C452" s="21" t="s">
        <v>157</v>
      </c>
      <c r="D452" s="21" t="s">
        <v>271</v>
      </c>
      <c r="E452" s="21" t="s">
        <v>1212</v>
      </c>
      <c r="F452" s="21"/>
      <c r="G452" s="22">
        <v>1.0</v>
      </c>
      <c r="H452" s="22" t="s">
        <v>239</v>
      </c>
      <c r="I452" s="58">
        <v>3.09</v>
      </c>
      <c r="J452" s="58">
        <v>3.09</v>
      </c>
      <c r="K452" s="21" t="s">
        <v>1213</v>
      </c>
    </row>
    <row r="453" ht="21.75" customHeight="1">
      <c r="A453" s="20">
        <v>45981.0</v>
      </c>
      <c r="B453" s="21" t="s">
        <v>1214</v>
      </c>
      <c r="C453" s="21" t="s">
        <v>157</v>
      </c>
      <c r="D453" s="21" t="s">
        <v>452</v>
      </c>
      <c r="E453" s="21" t="s">
        <v>1209</v>
      </c>
      <c r="F453" s="21"/>
      <c r="G453" s="22">
        <v>5.0</v>
      </c>
      <c r="H453" s="22" t="s">
        <v>239</v>
      </c>
      <c r="I453" s="58">
        <v>26.99</v>
      </c>
      <c r="J453" s="58">
        <v>134.95</v>
      </c>
      <c r="K453" s="21" t="s">
        <v>1210</v>
      </c>
    </row>
    <row r="454" ht="21.75" customHeight="1">
      <c r="A454" s="20">
        <v>45985.0</v>
      </c>
      <c r="B454" s="21" t="s">
        <v>1215</v>
      </c>
      <c r="C454" s="21" t="s">
        <v>157</v>
      </c>
      <c r="D454" s="21" t="s">
        <v>271</v>
      </c>
      <c r="E454" s="21" t="s">
        <v>1152</v>
      </c>
      <c r="F454" s="21"/>
      <c r="G454" s="22">
        <v>2.0</v>
      </c>
      <c r="H454" s="22" t="s">
        <v>239</v>
      </c>
      <c r="I454" s="58">
        <v>11.59</v>
      </c>
      <c r="J454" s="58">
        <v>23.18</v>
      </c>
      <c r="K454" s="21" t="s">
        <v>1216</v>
      </c>
    </row>
    <row r="455" ht="21.75" customHeight="1">
      <c r="A455" s="20">
        <v>45985.0</v>
      </c>
      <c r="B455" s="21" t="s">
        <v>1215</v>
      </c>
      <c r="C455" s="21" t="s">
        <v>157</v>
      </c>
      <c r="D455" s="21" t="s">
        <v>226</v>
      </c>
      <c r="E455" s="21" t="s">
        <v>1217</v>
      </c>
      <c r="F455" s="21"/>
      <c r="G455" s="22">
        <v>1.0</v>
      </c>
      <c r="H455" s="22" t="s">
        <v>239</v>
      </c>
      <c r="I455" s="58">
        <v>15.37</v>
      </c>
      <c r="J455" s="58">
        <v>15.37</v>
      </c>
      <c r="K455" s="21" t="s">
        <v>1218</v>
      </c>
    </row>
    <row r="456" ht="21.75" customHeight="1">
      <c r="A456" s="20">
        <v>45985.0</v>
      </c>
      <c r="B456" s="21" t="s">
        <v>1215</v>
      </c>
      <c r="C456" s="21" t="s">
        <v>157</v>
      </c>
      <c r="D456" s="21" t="s">
        <v>271</v>
      </c>
      <c r="E456" s="21" t="s">
        <v>1219</v>
      </c>
      <c r="F456" s="21"/>
      <c r="G456" s="22">
        <v>2.0</v>
      </c>
      <c r="H456" s="22" t="s">
        <v>239</v>
      </c>
      <c r="I456" s="58">
        <v>10.36</v>
      </c>
      <c r="J456" s="58">
        <v>20.72</v>
      </c>
      <c r="K456" s="21" t="s">
        <v>1220</v>
      </c>
    </row>
    <row r="457" ht="21.75" customHeight="1">
      <c r="A457" s="20">
        <v>45985.0</v>
      </c>
      <c r="B457" s="21" t="s">
        <v>1221</v>
      </c>
      <c r="C457" s="21" t="s">
        <v>157</v>
      </c>
      <c r="D457" s="21" t="s">
        <v>271</v>
      </c>
      <c r="E457" s="21" t="s">
        <v>1223</v>
      </c>
      <c r="F457" s="21"/>
      <c r="G457" s="22">
        <v>1.0</v>
      </c>
      <c r="H457" s="22" t="s">
        <v>239</v>
      </c>
      <c r="I457" s="58">
        <v>3.89</v>
      </c>
      <c r="J457" s="58">
        <v>23.88</v>
      </c>
      <c r="K457" s="21" t="s">
        <v>1224</v>
      </c>
    </row>
    <row r="458" ht="21.75" customHeight="1">
      <c r="A458" s="20">
        <v>45985.0</v>
      </c>
      <c r="B458" s="21" t="s">
        <v>1225</v>
      </c>
      <c r="C458" s="21" t="s">
        <v>157</v>
      </c>
      <c r="D458" s="21" t="s">
        <v>349</v>
      </c>
      <c r="E458" s="21" t="s">
        <v>609</v>
      </c>
      <c r="F458" s="21"/>
      <c r="G458" s="22">
        <v>10.0</v>
      </c>
      <c r="H458" s="22" t="s">
        <v>239</v>
      </c>
      <c r="I458" s="58">
        <v>41.95</v>
      </c>
      <c r="J458" s="58">
        <v>419.5</v>
      </c>
      <c r="K458" s="21" t="s">
        <v>1226</v>
      </c>
    </row>
    <row r="459" ht="21.75" customHeight="1">
      <c r="A459" s="20">
        <v>45986.0</v>
      </c>
      <c r="B459" s="21" t="s">
        <v>1227</v>
      </c>
      <c r="C459" s="21" t="s">
        <v>176</v>
      </c>
      <c r="D459" s="21" t="s">
        <v>175</v>
      </c>
      <c r="E459" s="21" t="s">
        <v>321</v>
      </c>
      <c r="F459" s="21" t="s">
        <v>652</v>
      </c>
      <c r="G459" s="22">
        <v>3.0</v>
      </c>
      <c r="H459" s="22" t="s">
        <v>177</v>
      </c>
      <c r="I459" s="58">
        <v>24.0</v>
      </c>
      <c r="J459" s="58">
        <f t="shared" ref="J459:J460" si="12">G459*I459</f>
        <v>72</v>
      </c>
      <c r="K459" s="21" t="s">
        <v>1229</v>
      </c>
    </row>
    <row r="460" ht="21.75" customHeight="1">
      <c r="A460" s="20">
        <v>45986.0</v>
      </c>
      <c r="B460" s="21" t="s">
        <v>1227</v>
      </c>
      <c r="C460" s="21" t="s">
        <v>176</v>
      </c>
      <c r="D460" s="21" t="s">
        <v>175</v>
      </c>
      <c r="E460" s="21" t="s">
        <v>207</v>
      </c>
      <c r="F460" s="21" t="s">
        <v>515</v>
      </c>
      <c r="G460" s="22">
        <v>3.0</v>
      </c>
      <c r="H460" s="22" t="s">
        <v>177</v>
      </c>
      <c r="I460" s="58">
        <v>6.86</v>
      </c>
      <c r="J460" s="58">
        <f t="shared" si="12"/>
        <v>20.58</v>
      </c>
      <c r="K460" s="21" t="s">
        <v>1230</v>
      </c>
    </row>
    <row r="461" ht="21.75" customHeight="1">
      <c r="A461" s="20">
        <v>45987.0</v>
      </c>
      <c r="B461" s="21" t="s">
        <v>1231</v>
      </c>
      <c r="C461" s="21" t="s">
        <v>157</v>
      </c>
      <c r="D461" s="21" t="s">
        <v>989</v>
      </c>
      <c r="E461" s="21" t="s">
        <v>1232</v>
      </c>
      <c r="F461" s="21"/>
      <c r="G461" s="22">
        <v>1.0</v>
      </c>
      <c r="H461" s="22" t="s">
        <v>239</v>
      </c>
      <c r="I461" s="58">
        <v>79.99</v>
      </c>
      <c r="J461" s="58">
        <v>79.99</v>
      </c>
      <c r="K461" s="21" t="s">
        <v>1233</v>
      </c>
    </row>
    <row r="462" ht="21.75" customHeight="1">
      <c r="A462" s="20">
        <v>45989.0</v>
      </c>
      <c r="B462" s="21" t="s">
        <v>1234</v>
      </c>
      <c r="C462" s="21" t="s">
        <v>157</v>
      </c>
      <c r="D462" s="21" t="s">
        <v>226</v>
      </c>
      <c r="E462" s="21" t="s">
        <v>1235</v>
      </c>
      <c r="F462" s="21"/>
      <c r="G462" s="22">
        <v>1.0</v>
      </c>
      <c r="H462" s="22" t="s">
        <v>239</v>
      </c>
      <c r="I462" s="58">
        <v>8.49</v>
      </c>
      <c r="J462" s="58">
        <v>8.49</v>
      </c>
      <c r="K462" s="21" t="s">
        <v>1236</v>
      </c>
    </row>
    <row r="463" ht="21.75" customHeight="1">
      <c r="A463" s="20">
        <v>45989.0</v>
      </c>
      <c r="B463" s="21" t="s">
        <v>1234</v>
      </c>
      <c r="C463" s="21" t="s">
        <v>157</v>
      </c>
      <c r="D463" s="21" t="s">
        <v>226</v>
      </c>
      <c r="E463" s="21" t="s">
        <v>1237</v>
      </c>
      <c r="F463" s="21"/>
      <c r="G463" s="22">
        <v>1.0</v>
      </c>
      <c r="H463" s="22" t="s">
        <v>239</v>
      </c>
      <c r="I463" s="58">
        <v>7.99</v>
      </c>
      <c r="J463" s="58">
        <v>7.99</v>
      </c>
      <c r="K463" s="21" t="s">
        <v>1238</v>
      </c>
    </row>
    <row r="464" ht="21.75" customHeight="1">
      <c r="A464" s="20">
        <v>45989.0</v>
      </c>
      <c r="B464" s="21" t="s">
        <v>1234</v>
      </c>
      <c r="C464" s="21" t="s">
        <v>157</v>
      </c>
      <c r="D464" s="21" t="s">
        <v>226</v>
      </c>
      <c r="E464" s="21" t="s">
        <v>1239</v>
      </c>
      <c r="F464" s="21"/>
      <c r="G464" s="22">
        <v>1.0</v>
      </c>
      <c r="H464" s="22" t="s">
        <v>239</v>
      </c>
      <c r="I464" s="58">
        <v>11.04</v>
      </c>
      <c r="J464" s="58">
        <v>11.04</v>
      </c>
      <c r="K464" s="21" t="s">
        <v>1240</v>
      </c>
    </row>
    <row r="465" ht="21.75" customHeight="1">
      <c r="A465" s="20">
        <v>45989.0</v>
      </c>
      <c r="B465" s="21" t="s">
        <v>1234</v>
      </c>
      <c r="C465" s="21" t="s">
        <v>157</v>
      </c>
      <c r="D465" s="21" t="s">
        <v>271</v>
      </c>
      <c r="E465" s="21" t="s">
        <v>1241</v>
      </c>
      <c r="F465" s="21"/>
      <c r="G465" s="22">
        <v>1.0</v>
      </c>
      <c r="H465" s="22" t="s">
        <v>239</v>
      </c>
      <c r="I465" s="58">
        <v>30.67</v>
      </c>
      <c r="J465" s="58">
        <v>30.67</v>
      </c>
      <c r="K465" s="21" t="s">
        <v>1243</v>
      </c>
    </row>
    <row r="466" ht="21.75" customHeight="1">
      <c r="A466" s="20">
        <v>45989.0</v>
      </c>
      <c r="B466" s="21" t="s">
        <v>1234</v>
      </c>
      <c r="C466" s="21" t="s">
        <v>157</v>
      </c>
      <c r="D466" s="21" t="s">
        <v>271</v>
      </c>
      <c r="E466" s="21" t="s">
        <v>1037</v>
      </c>
      <c r="F466" s="21"/>
      <c r="G466" s="22">
        <v>1.0</v>
      </c>
      <c r="H466" s="22" t="s">
        <v>239</v>
      </c>
      <c r="I466" s="58">
        <v>12.73</v>
      </c>
      <c r="J466" s="58">
        <v>12.73</v>
      </c>
      <c r="K466" s="21" t="s">
        <v>1135</v>
      </c>
    </row>
    <row r="467" ht="21.75" customHeight="1">
      <c r="A467" s="20">
        <v>45989.0</v>
      </c>
      <c r="B467" s="21" t="s">
        <v>1234</v>
      </c>
      <c r="C467" s="21" t="s">
        <v>157</v>
      </c>
      <c r="D467" s="21" t="s">
        <v>226</v>
      </c>
      <c r="E467" s="21" t="s">
        <v>1235</v>
      </c>
      <c r="F467" s="21"/>
      <c r="G467" s="22">
        <v>1.0</v>
      </c>
      <c r="H467" s="22" t="s">
        <v>239</v>
      </c>
      <c r="I467" s="58">
        <v>8.49</v>
      </c>
      <c r="J467" s="58">
        <v>8.49</v>
      </c>
      <c r="K467" s="21" t="s">
        <v>1236</v>
      </c>
    </row>
    <row r="468" ht="21.75" customHeight="1">
      <c r="A468" s="20">
        <v>45989.0</v>
      </c>
      <c r="B468" s="21" t="s">
        <v>1234</v>
      </c>
      <c r="C468" s="21" t="s">
        <v>157</v>
      </c>
      <c r="D468" s="21" t="s">
        <v>226</v>
      </c>
      <c r="E468" s="21" t="s">
        <v>1237</v>
      </c>
      <c r="F468" s="21"/>
      <c r="G468" s="22">
        <v>1.0</v>
      </c>
      <c r="H468" s="22" t="s">
        <v>239</v>
      </c>
      <c r="I468" s="58">
        <v>7.99</v>
      </c>
      <c r="J468" s="58">
        <v>7.99</v>
      </c>
      <c r="K468" s="21" t="s">
        <v>1238</v>
      </c>
    </row>
    <row r="469" ht="21.75" customHeight="1">
      <c r="A469" s="20">
        <v>45989.0</v>
      </c>
      <c r="B469" s="21" t="s">
        <v>1234</v>
      </c>
      <c r="C469" s="21" t="s">
        <v>157</v>
      </c>
      <c r="D469" s="21" t="s">
        <v>226</v>
      </c>
      <c r="E469" s="21" t="s">
        <v>1239</v>
      </c>
      <c r="F469" s="21"/>
      <c r="G469" s="22">
        <v>1.0</v>
      </c>
      <c r="H469" s="22" t="s">
        <v>239</v>
      </c>
      <c r="I469" s="58">
        <v>11.04</v>
      </c>
      <c r="J469" s="58">
        <v>11.04</v>
      </c>
      <c r="K469" s="21" t="s">
        <v>1240</v>
      </c>
    </row>
    <row r="470" ht="21.75" customHeight="1">
      <c r="A470" s="20">
        <v>45989.0</v>
      </c>
      <c r="B470" s="21" t="s">
        <v>1234</v>
      </c>
      <c r="C470" s="21" t="s">
        <v>157</v>
      </c>
      <c r="D470" s="21" t="s">
        <v>271</v>
      </c>
      <c r="E470" s="21" t="s">
        <v>1241</v>
      </c>
      <c r="F470" s="21"/>
      <c r="G470" s="22">
        <v>1.0</v>
      </c>
      <c r="H470" s="22" t="s">
        <v>239</v>
      </c>
      <c r="I470" s="58">
        <v>30.67</v>
      </c>
      <c r="J470" s="58">
        <v>30.67</v>
      </c>
      <c r="K470" s="21" t="s">
        <v>1243</v>
      </c>
    </row>
    <row r="471" ht="21.75" customHeight="1">
      <c r="A471" s="20">
        <v>45989.0</v>
      </c>
      <c r="B471" s="21" t="s">
        <v>1234</v>
      </c>
      <c r="C471" s="21" t="s">
        <v>157</v>
      </c>
      <c r="D471" s="21" t="s">
        <v>271</v>
      </c>
      <c r="E471" s="21" t="s">
        <v>1037</v>
      </c>
      <c r="F471" s="21"/>
      <c r="G471" s="22">
        <v>1.0</v>
      </c>
      <c r="H471" s="22" t="s">
        <v>239</v>
      </c>
      <c r="I471" s="58">
        <v>12.73</v>
      </c>
      <c r="J471" s="58">
        <v>12.73</v>
      </c>
      <c r="K471" s="21" t="s">
        <v>1135</v>
      </c>
    </row>
    <row r="472" ht="21.75" customHeight="1">
      <c r="A472" s="20">
        <v>45989.0</v>
      </c>
      <c r="B472" s="21" t="s">
        <v>1234</v>
      </c>
      <c r="C472" s="21" t="s">
        <v>157</v>
      </c>
      <c r="D472" s="21" t="s">
        <v>226</v>
      </c>
      <c r="E472" s="21" t="s">
        <v>1235</v>
      </c>
      <c r="F472" s="21"/>
      <c r="G472" s="22">
        <v>1.0</v>
      </c>
      <c r="H472" s="22" t="s">
        <v>239</v>
      </c>
      <c r="I472" s="58">
        <v>8.49</v>
      </c>
      <c r="J472" s="58">
        <v>8.49</v>
      </c>
      <c r="K472" s="21" t="s">
        <v>1236</v>
      </c>
    </row>
    <row r="473" ht="21.75" customHeight="1">
      <c r="A473" s="20">
        <v>45989.0</v>
      </c>
      <c r="B473" s="21" t="s">
        <v>1234</v>
      </c>
      <c r="C473" s="21" t="s">
        <v>157</v>
      </c>
      <c r="D473" s="21" t="s">
        <v>226</v>
      </c>
      <c r="E473" s="21" t="s">
        <v>1237</v>
      </c>
      <c r="F473" s="21"/>
      <c r="G473" s="22">
        <v>1.0</v>
      </c>
      <c r="H473" s="22" t="s">
        <v>239</v>
      </c>
      <c r="I473" s="58">
        <v>7.99</v>
      </c>
      <c r="J473" s="58">
        <v>7.99</v>
      </c>
      <c r="K473" s="21" t="s">
        <v>1238</v>
      </c>
    </row>
    <row r="474" ht="21.75" customHeight="1">
      <c r="A474" s="20">
        <v>45989.0</v>
      </c>
      <c r="B474" s="21" t="s">
        <v>1234</v>
      </c>
      <c r="C474" s="21" t="s">
        <v>157</v>
      </c>
      <c r="D474" s="21" t="s">
        <v>226</v>
      </c>
      <c r="E474" s="21" t="s">
        <v>1239</v>
      </c>
      <c r="F474" s="21"/>
      <c r="G474" s="22">
        <v>1.0</v>
      </c>
      <c r="H474" s="22" t="s">
        <v>239</v>
      </c>
      <c r="I474" s="58">
        <v>11.04</v>
      </c>
      <c r="J474" s="58">
        <v>11.04</v>
      </c>
      <c r="K474" s="21" t="s">
        <v>1240</v>
      </c>
    </row>
    <row r="475" ht="21.75" customHeight="1">
      <c r="A475" s="20">
        <v>45989.0</v>
      </c>
      <c r="B475" s="21" t="s">
        <v>1234</v>
      </c>
      <c r="C475" s="21" t="s">
        <v>157</v>
      </c>
      <c r="D475" s="21" t="s">
        <v>271</v>
      </c>
      <c r="E475" s="21" t="s">
        <v>1241</v>
      </c>
      <c r="F475" s="21"/>
      <c r="G475" s="22">
        <v>1.0</v>
      </c>
      <c r="H475" s="22" t="s">
        <v>239</v>
      </c>
      <c r="I475" s="58">
        <v>30.67</v>
      </c>
      <c r="J475" s="58">
        <v>30.67</v>
      </c>
      <c r="K475" s="21" t="s">
        <v>1243</v>
      </c>
    </row>
    <row r="476" ht="21.75" customHeight="1">
      <c r="A476" s="20">
        <v>45989.0</v>
      </c>
      <c r="B476" s="21" t="s">
        <v>1234</v>
      </c>
      <c r="C476" s="21" t="s">
        <v>157</v>
      </c>
      <c r="D476" s="21" t="s">
        <v>271</v>
      </c>
      <c r="E476" s="21" t="s">
        <v>1037</v>
      </c>
      <c r="F476" s="21"/>
      <c r="G476" s="22">
        <v>1.0</v>
      </c>
      <c r="H476" s="22" t="s">
        <v>239</v>
      </c>
      <c r="I476" s="58">
        <v>12.73</v>
      </c>
      <c r="J476" s="58">
        <v>12.73</v>
      </c>
      <c r="K476" s="21" t="s">
        <v>1135</v>
      </c>
    </row>
    <row r="477" ht="21.75" customHeight="1">
      <c r="A477" s="20">
        <v>45992.0</v>
      </c>
      <c r="B477" s="21" t="s">
        <v>1246</v>
      </c>
      <c r="C477" s="21" t="s">
        <v>157</v>
      </c>
      <c r="D477" s="21" t="s">
        <v>989</v>
      </c>
      <c r="E477" s="21" t="s">
        <v>1247</v>
      </c>
      <c r="F477" s="21"/>
      <c r="G477" s="22">
        <v>1.0</v>
      </c>
      <c r="H477" s="22" t="s">
        <v>239</v>
      </c>
      <c r="I477" s="58">
        <v>44.19</v>
      </c>
      <c r="J477" s="58">
        <v>44.19</v>
      </c>
      <c r="K477" s="21" t="s">
        <v>1248</v>
      </c>
    </row>
    <row r="478" ht="21.75" customHeight="1">
      <c r="A478" s="20">
        <v>45992.0</v>
      </c>
      <c r="B478" s="21" t="s">
        <v>1249</v>
      </c>
      <c r="C478" s="21" t="s">
        <v>157</v>
      </c>
      <c r="D478" s="21" t="s">
        <v>452</v>
      </c>
      <c r="E478" s="21" t="s">
        <v>1250</v>
      </c>
      <c r="F478" s="21"/>
      <c r="G478" s="22">
        <v>2.0</v>
      </c>
      <c r="H478" s="22" t="s">
        <v>239</v>
      </c>
      <c r="I478" s="58">
        <v>8.73</v>
      </c>
      <c r="J478" s="58">
        <v>17.46</v>
      </c>
      <c r="K478" s="21" t="s">
        <v>1251</v>
      </c>
    </row>
    <row r="479" ht="21.75" customHeight="1">
      <c r="A479" s="20">
        <v>45992.0</v>
      </c>
      <c r="B479" s="21" t="s">
        <v>1252</v>
      </c>
      <c r="C479" s="21" t="s">
        <v>157</v>
      </c>
      <c r="D479" s="21" t="s">
        <v>226</v>
      </c>
      <c r="E479" s="21" t="s">
        <v>1053</v>
      </c>
      <c r="F479" s="21"/>
      <c r="G479" s="22">
        <v>8.0</v>
      </c>
      <c r="H479" s="22" t="s">
        <v>239</v>
      </c>
      <c r="I479" s="58">
        <v>19.59</v>
      </c>
      <c r="J479" s="58">
        <v>156.72</v>
      </c>
      <c r="K479" s="21" t="s">
        <v>1184</v>
      </c>
    </row>
    <row r="480" ht="21.75" customHeight="1">
      <c r="A480" s="20">
        <v>45992.0</v>
      </c>
      <c r="B480" s="21" t="s">
        <v>1252</v>
      </c>
      <c r="C480" s="21" t="s">
        <v>157</v>
      </c>
      <c r="D480" s="21" t="s">
        <v>271</v>
      </c>
      <c r="E480" s="21" t="s">
        <v>1018</v>
      </c>
      <c r="F480" s="21"/>
      <c r="G480" s="22">
        <v>1.0</v>
      </c>
      <c r="H480" s="22" t="s">
        <v>239</v>
      </c>
      <c r="I480" s="58">
        <v>116.79</v>
      </c>
      <c r="J480" s="58">
        <v>116.79</v>
      </c>
      <c r="K480" s="21" t="s">
        <v>1253</v>
      </c>
    </row>
    <row r="481" ht="21.75" customHeight="1">
      <c r="A481" s="20">
        <v>45992.0</v>
      </c>
      <c r="B481" s="21" t="s">
        <v>1254</v>
      </c>
      <c r="C481" s="21" t="s">
        <v>157</v>
      </c>
      <c r="D481" s="21" t="s">
        <v>271</v>
      </c>
      <c r="E481" s="21" t="s">
        <v>1255</v>
      </c>
      <c r="F481" s="21"/>
      <c r="G481" s="22">
        <v>1.0</v>
      </c>
      <c r="H481" s="22" t="s">
        <v>239</v>
      </c>
      <c r="I481" s="58">
        <v>9.89</v>
      </c>
      <c r="J481" s="58">
        <v>9.89</v>
      </c>
      <c r="K481" s="21" t="s">
        <v>1256</v>
      </c>
    </row>
    <row r="482" ht="21.75" customHeight="1">
      <c r="A482" s="20">
        <v>45992.0</v>
      </c>
      <c r="B482" s="21" t="s">
        <v>1254</v>
      </c>
      <c r="C482" s="21" t="s">
        <v>157</v>
      </c>
      <c r="D482" s="21" t="s">
        <v>226</v>
      </c>
      <c r="E482" s="21" t="s">
        <v>1045</v>
      </c>
      <c r="F482" s="21"/>
      <c r="G482" s="22">
        <v>2.0</v>
      </c>
      <c r="H482" s="22" t="s">
        <v>239</v>
      </c>
      <c r="I482" s="58">
        <v>14.42</v>
      </c>
      <c r="J482" s="58">
        <v>28.84</v>
      </c>
      <c r="K482" s="21" t="s">
        <v>1190</v>
      </c>
    </row>
    <row r="483" ht="21.75" customHeight="1">
      <c r="A483" s="20">
        <v>45992.0</v>
      </c>
      <c r="B483" s="21" t="s">
        <v>1257</v>
      </c>
      <c r="C483" s="21" t="s">
        <v>157</v>
      </c>
      <c r="D483" s="21" t="s">
        <v>349</v>
      </c>
      <c r="E483" s="21" t="s">
        <v>1258</v>
      </c>
      <c r="F483" s="21"/>
      <c r="G483" s="22">
        <v>1.0</v>
      </c>
      <c r="H483" s="22" t="s">
        <v>239</v>
      </c>
      <c r="I483" s="58">
        <v>35.0</v>
      </c>
      <c r="J483" s="58">
        <v>35.0</v>
      </c>
      <c r="K483" s="21" t="s">
        <v>1259</v>
      </c>
    </row>
    <row r="484" ht="21.75" customHeight="1">
      <c r="A484" s="20">
        <v>45992.0</v>
      </c>
      <c r="B484" s="21" t="s">
        <v>1260</v>
      </c>
      <c r="C484" s="21" t="s">
        <v>157</v>
      </c>
      <c r="D484" s="21" t="s">
        <v>349</v>
      </c>
      <c r="E484" s="21" t="s">
        <v>1262</v>
      </c>
      <c r="F484" s="21"/>
      <c r="G484" s="22">
        <v>1.0</v>
      </c>
      <c r="H484" s="22" t="s">
        <v>239</v>
      </c>
      <c r="I484" s="58">
        <v>11.84</v>
      </c>
      <c r="J484" s="58">
        <v>11.84</v>
      </c>
      <c r="K484" s="21" t="s">
        <v>1263</v>
      </c>
    </row>
    <row r="485" ht="21.75" customHeight="1">
      <c r="A485" s="20">
        <v>45992.0</v>
      </c>
      <c r="B485" s="21" t="s">
        <v>1264</v>
      </c>
      <c r="C485" s="21" t="s">
        <v>157</v>
      </c>
      <c r="D485" s="21" t="s">
        <v>42</v>
      </c>
      <c r="E485" s="21" t="s">
        <v>330</v>
      </c>
      <c r="F485" s="21"/>
      <c r="G485" s="22">
        <v>5.0</v>
      </c>
      <c r="H485" s="22" t="s">
        <v>239</v>
      </c>
      <c r="I485" s="58">
        <v>9.11</v>
      </c>
      <c r="J485" s="58">
        <v>45.55</v>
      </c>
      <c r="K485" s="21" t="s">
        <v>1265</v>
      </c>
    </row>
    <row r="486" ht="21.75" customHeight="1">
      <c r="A486" s="20">
        <v>45992.0</v>
      </c>
      <c r="B486" s="21" t="s">
        <v>1266</v>
      </c>
      <c r="C486" s="21" t="s">
        <v>157</v>
      </c>
      <c r="D486" s="21" t="s">
        <v>452</v>
      </c>
      <c r="E486" s="21" t="s">
        <v>665</v>
      </c>
      <c r="F486" s="21"/>
      <c r="G486" s="22">
        <v>7.0</v>
      </c>
      <c r="H486" s="22" t="s">
        <v>239</v>
      </c>
      <c r="I486" s="58">
        <v>24.7</v>
      </c>
      <c r="J486" s="58">
        <v>172.9</v>
      </c>
      <c r="K486" s="21" t="s">
        <v>1268</v>
      </c>
    </row>
    <row r="487" ht="21.75" customHeight="1">
      <c r="A487" s="20">
        <v>45992.0</v>
      </c>
      <c r="B487" s="21" t="s">
        <v>1266</v>
      </c>
      <c r="C487" s="21" t="s">
        <v>157</v>
      </c>
      <c r="D487" s="21" t="s">
        <v>452</v>
      </c>
      <c r="E487" s="21" t="s">
        <v>1269</v>
      </c>
      <c r="F487" s="21"/>
      <c r="G487" s="22">
        <v>3.0</v>
      </c>
      <c r="H487" s="22" t="s">
        <v>239</v>
      </c>
      <c r="I487" s="58">
        <v>29.65</v>
      </c>
      <c r="J487" s="58">
        <v>88.95</v>
      </c>
      <c r="K487" s="21" t="s">
        <v>1270</v>
      </c>
    </row>
    <row r="488" ht="21.75" customHeight="1">
      <c r="A488" s="20">
        <v>45992.0</v>
      </c>
      <c r="B488" s="21" t="s">
        <v>1271</v>
      </c>
      <c r="C488" s="21" t="s">
        <v>157</v>
      </c>
      <c r="D488" s="21" t="s">
        <v>42</v>
      </c>
      <c r="E488" s="21" t="s">
        <v>1162</v>
      </c>
      <c r="F488" s="21"/>
      <c r="G488" s="22">
        <v>2.0</v>
      </c>
      <c r="H488" s="22" t="s">
        <v>239</v>
      </c>
      <c r="I488" s="58">
        <v>92.58</v>
      </c>
      <c r="J488" s="58">
        <v>185.16</v>
      </c>
      <c r="K488" s="21" t="s">
        <v>1163</v>
      </c>
    </row>
    <row r="489" ht="21.75" customHeight="1">
      <c r="A489" s="20">
        <v>45992.0</v>
      </c>
      <c r="B489" s="21" t="s">
        <v>1272</v>
      </c>
      <c r="C489" s="21" t="s">
        <v>157</v>
      </c>
      <c r="D489" s="21" t="s">
        <v>42</v>
      </c>
      <c r="E489" s="21" t="s">
        <v>1162</v>
      </c>
      <c r="F489" s="21"/>
      <c r="G489" s="22">
        <v>1.0</v>
      </c>
      <c r="H489" s="22" t="s">
        <v>239</v>
      </c>
      <c r="I489" s="58">
        <v>93.38</v>
      </c>
      <c r="J489" s="58">
        <v>93.38</v>
      </c>
      <c r="K489" s="21" t="s">
        <v>1163</v>
      </c>
    </row>
    <row r="490" ht="21.75" customHeight="1">
      <c r="A490" s="20">
        <v>45994.0</v>
      </c>
      <c r="B490" s="21" t="s">
        <v>1273</v>
      </c>
      <c r="C490" s="21" t="s">
        <v>157</v>
      </c>
      <c r="D490" s="21" t="s">
        <v>452</v>
      </c>
      <c r="E490" s="21" t="s">
        <v>1026</v>
      </c>
      <c r="F490" s="21"/>
      <c r="G490" s="22">
        <v>20.0</v>
      </c>
      <c r="H490" s="22" t="s">
        <v>239</v>
      </c>
      <c r="I490" s="58">
        <v>16.99</v>
      </c>
      <c r="J490" s="58">
        <v>339.8</v>
      </c>
      <c r="K490" s="21" t="s">
        <v>1274</v>
      </c>
    </row>
    <row r="491" ht="21.75" customHeight="1">
      <c r="A491" s="20">
        <v>45994.0</v>
      </c>
      <c r="B491" s="21" t="s">
        <v>1275</v>
      </c>
      <c r="C491" s="21" t="s">
        <v>157</v>
      </c>
      <c r="D491" s="21" t="s">
        <v>271</v>
      </c>
      <c r="E491" s="21" t="s">
        <v>1111</v>
      </c>
      <c r="F491" s="21"/>
      <c r="G491" s="22">
        <v>5.0</v>
      </c>
      <c r="H491" s="22" t="s">
        <v>239</v>
      </c>
      <c r="I491" s="58">
        <v>39.99</v>
      </c>
      <c r="J491" s="58">
        <v>199.95</v>
      </c>
      <c r="K491" s="21" t="s">
        <v>1112</v>
      </c>
    </row>
    <row r="492" ht="21.75" customHeight="1">
      <c r="A492" s="20">
        <v>45994.0</v>
      </c>
      <c r="B492" s="21" t="s">
        <v>1275</v>
      </c>
      <c r="C492" s="21" t="s">
        <v>157</v>
      </c>
      <c r="D492" s="21" t="s">
        <v>271</v>
      </c>
      <c r="E492" s="21" t="s">
        <v>1111</v>
      </c>
      <c r="F492" s="21"/>
      <c r="G492" s="22">
        <v>4.0</v>
      </c>
      <c r="H492" s="22" t="s">
        <v>239</v>
      </c>
      <c r="I492" s="58">
        <v>39.99</v>
      </c>
      <c r="J492" s="58">
        <v>159.96</v>
      </c>
      <c r="K492" s="21" t="s">
        <v>1112</v>
      </c>
    </row>
    <row r="493" ht="21.75" customHeight="1">
      <c r="A493" s="20">
        <v>45994.0</v>
      </c>
      <c r="B493" s="21" t="s">
        <v>1276</v>
      </c>
      <c r="C493" s="21" t="s">
        <v>157</v>
      </c>
      <c r="D493" s="21" t="s">
        <v>226</v>
      </c>
      <c r="E493" s="21" t="s">
        <v>1008</v>
      </c>
      <c r="F493" s="21"/>
      <c r="G493" s="22">
        <v>1.0</v>
      </c>
      <c r="H493" s="22" t="s">
        <v>239</v>
      </c>
      <c r="I493" s="58">
        <v>7.09</v>
      </c>
      <c r="J493" s="58">
        <v>7.09</v>
      </c>
      <c r="K493" s="21" t="s">
        <v>1277</v>
      </c>
    </row>
    <row r="494" ht="21.75" customHeight="1">
      <c r="A494" s="20">
        <v>45994.0</v>
      </c>
      <c r="B494" s="21" t="s">
        <v>1276</v>
      </c>
      <c r="C494" s="21" t="s">
        <v>157</v>
      </c>
      <c r="D494" s="21" t="s">
        <v>226</v>
      </c>
      <c r="E494" s="21" t="s">
        <v>1278</v>
      </c>
      <c r="F494" s="21"/>
      <c r="G494" s="22">
        <v>1.0</v>
      </c>
      <c r="H494" s="22" t="s">
        <v>239</v>
      </c>
      <c r="I494" s="58">
        <v>9.59</v>
      </c>
      <c r="J494" s="58">
        <v>9.59</v>
      </c>
      <c r="K494" s="21" t="s">
        <v>1279</v>
      </c>
    </row>
    <row r="495" ht="21.75" customHeight="1">
      <c r="A495" s="20">
        <v>45994.0</v>
      </c>
      <c r="B495" s="21" t="s">
        <v>1276</v>
      </c>
      <c r="C495" s="21" t="s">
        <v>157</v>
      </c>
      <c r="D495" s="21" t="s">
        <v>226</v>
      </c>
      <c r="E495" s="21" t="s">
        <v>1280</v>
      </c>
      <c r="F495" s="21"/>
      <c r="G495" s="22">
        <v>2.0</v>
      </c>
      <c r="H495" s="22" t="s">
        <v>239</v>
      </c>
      <c r="I495" s="58">
        <v>9.99</v>
      </c>
      <c r="J495" s="58">
        <v>19.98</v>
      </c>
      <c r="K495" s="21" t="s">
        <v>1282</v>
      </c>
    </row>
    <row r="496" ht="21.75" customHeight="1">
      <c r="A496" s="20">
        <v>45994.0</v>
      </c>
      <c r="B496" s="21" t="s">
        <v>1276</v>
      </c>
      <c r="C496" s="21" t="s">
        <v>157</v>
      </c>
      <c r="D496" s="21" t="s">
        <v>226</v>
      </c>
      <c r="E496" s="21" t="s">
        <v>1009</v>
      </c>
      <c r="F496" s="21"/>
      <c r="G496" s="22">
        <v>1.0</v>
      </c>
      <c r="H496" s="22" t="s">
        <v>239</v>
      </c>
      <c r="I496" s="58">
        <v>9.49</v>
      </c>
      <c r="J496" s="58">
        <v>9.49</v>
      </c>
      <c r="K496" s="21" t="s">
        <v>1283</v>
      </c>
    </row>
    <row r="497" ht="21.75" customHeight="1">
      <c r="A497" s="20">
        <v>45994.0</v>
      </c>
      <c r="B497" s="21" t="s">
        <v>1276</v>
      </c>
      <c r="C497" s="21" t="s">
        <v>157</v>
      </c>
      <c r="D497" s="21" t="s">
        <v>226</v>
      </c>
      <c r="E497" s="21" t="s">
        <v>1203</v>
      </c>
      <c r="F497" s="21"/>
      <c r="G497" s="22">
        <v>2.0</v>
      </c>
      <c r="H497" s="22" t="s">
        <v>239</v>
      </c>
      <c r="I497" s="58">
        <v>17.45</v>
      </c>
      <c r="J497" s="58">
        <v>34.9</v>
      </c>
      <c r="K497" s="21" t="s">
        <v>1204</v>
      </c>
    </row>
    <row r="498" ht="21.75" customHeight="1">
      <c r="A498" s="20">
        <v>45994.0</v>
      </c>
      <c r="B498" s="21" t="s">
        <v>1276</v>
      </c>
      <c r="C498" s="21" t="s">
        <v>157</v>
      </c>
      <c r="D498" s="21" t="s">
        <v>226</v>
      </c>
      <c r="E498" s="21" t="s">
        <v>1285</v>
      </c>
      <c r="F498" s="21"/>
      <c r="G498" s="22">
        <v>1.0</v>
      </c>
      <c r="H498" s="22" t="s">
        <v>239</v>
      </c>
      <c r="I498" s="58">
        <v>34.96</v>
      </c>
      <c r="J498" s="58">
        <v>34.96</v>
      </c>
      <c r="K498" s="21" t="s">
        <v>1286</v>
      </c>
    </row>
    <row r="499" ht="21.75" customHeight="1">
      <c r="A499" s="20">
        <v>45994.0</v>
      </c>
      <c r="B499" s="21" t="s">
        <v>1276</v>
      </c>
      <c r="C499" s="21" t="s">
        <v>157</v>
      </c>
      <c r="D499" s="21" t="s">
        <v>226</v>
      </c>
      <c r="E499" s="21" t="s">
        <v>1200</v>
      </c>
      <c r="F499" s="21"/>
      <c r="G499" s="22">
        <v>1.0</v>
      </c>
      <c r="H499" s="22" t="s">
        <v>239</v>
      </c>
      <c r="I499" s="58">
        <v>19.99</v>
      </c>
      <c r="J499" s="58">
        <v>19.99</v>
      </c>
      <c r="K499" s="21" t="s">
        <v>1201</v>
      </c>
    </row>
    <row r="500" ht="21.75" customHeight="1">
      <c r="A500" s="20">
        <v>45994.0</v>
      </c>
      <c r="B500" s="21" t="s">
        <v>1276</v>
      </c>
      <c r="C500" s="21" t="s">
        <v>157</v>
      </c>
      <c r="D500" s="21" t="s">
        <v>226</v>
      </c>
      <c r="E500" s="21" t="s">
        <v>1287</v>
      </c>
      <c r="F500" s="21"/>
      <c r="G500" s="22">
        <v>2.0</v>
      </c>
      <c r="H500" s="22" t="s">
        <v>239</v>
      </c>
      <c r="I500" s="58">
        <v>5.79</v>
      </c>
      <c r="J500" s="58">
        <v>11.58</v>
      </c>
      <c r="K500" s="21" t="s">
        <v>1288</v>
      </c>
    </row>
    <row r="501" ht="21.75" customHeight="1">
      <c r="A501" s="20">
        <v>45994.0</v>
      </c>
      <c r="B501" s="21" t="s">
        <v>1276</v>
      </c>
      <c r="C501" s="21" t="s">
        <v>157</v>
      </c>
      <c r="D501" s="21" t="s">
        <v>226</v>
      </c>
      <c r="E501" s="21" t="s">
        <v>1289</v>
      </c>
      <c r="F501" s="21"/>
      <c r="G501" s="22">
        <v>1.0</v>
      </c>
      <c r="H501" s="22" t="s">
        <v>239</v>
      </c>
      <c r="I501" s="58">
        <v>31.41</v>
      </c>
      <c r="J501" s="58">
        <v>31.41</v>
      </c>
      <c r="K501" s="21" t="s">
        <v>1290</v>
      </c>
    </row>
    <row r="502" ht="21.75" customHeight="1">
      <c r="A502" s="20">
        <v>45994.0</v>
      </c>
      <c r="B502" s="21" t="s">
        <v>1276</v>
      </c>
      <c r="C502" s="21" t="s">
        <v>157</v>
      </c>
      <c r="D502" s="21" t="s">
        <v>226</v>
      </c>
      <c r="E502" s="21" t="s">
        <v>1291</v>
      </c>
      <c r="F502" s="21"/>
      <c r="G502" s="22">
        <v>3.0</v>
      </c>
      <c r="H502" s="22" t="s">
        <v>239</v>
      </c>
      <c r="I502" s="58">
        <v>3.39</v>
      </c>
      <c r="J502" s="58">
        <v>10.17</v>
      </c>
      <c r="K502" s="21" t="s">
        <v>1292</v>
      </c>
    </row>
    <row r="503" ht="21.75" customHeight="1">
      <c r="A503" s="20">
        <v>45994.0</v>
      </c>
      <c r="B503" s="21" t="s">
        <v>1276</v>
      </c>
      <c r="C503" s="21" t="s">
        <v>157</v>
      </c>
      <c r="D503" s="21" t="s">
        <v>226</v>
      </c>
      <c r="E503" s="21" t="s">
        <v>1293</v>
      </c>
      <c r="F503" s="21"/>
      <c r="G503" s="22">
        <v>1.0</v>
      </c>
      <c r="H503" s="22" t="s">
        <v>239</v>
      </c>
      <c r="I503" s="58">
        <v>15.19</v>
      </c>
      <c r="J503" s="58">
        <v>15.19</v>
      </c>
      <c r="K503" s="21" t="s">
        <v>1294</v>
      </c>
    </row>
    <row r="504" ht="21.75" customHeight="1">
      <c r="A504" s="20">
        <v>45994.0</v>
      </c>
      <c r="B504" s="21" t="s">
        <v>1276</v>
      </c>
      <c r="C504" s="21" t="s">
        <v>157</v>
      </c>
      <c r="D504" s="21" t="s">
        <v>226</v>
      </c>
      <c r="E504" s="21" t="s">
        <v>1012</v>
      </c>
      <c r="F504" s="21"/>
      <c r="G504" s="22">
        <v>1.0</v>
      </c>
      <c r="H504" s="22" t="s">
        <v>239</v>
      </c>
      <c r="I504" s="58">
        <v>11.98</v>
      </c>
      <c r="J504" s="58">
        <v>11.98</v>
      </c>
      <c r="K504" s="21" t="s">
        <v>1295</v>
      </c>
    </row>
    <row r="505" ht="21.75" customHeight="1">
      <c r="A505" s="20">
        <v>45995.0</v>
      </c>
      <c r="B505" s="21" t="s">
        <v>1296</v>
      </c>
      <c r="C505" s="21" t="s">
        <v>157</v>
      </c>
      <c r="D505" s="21" t="s">
        <v>226</v>
      </c>
      <c r="E505" s="21" t="s">
        <v>1297</v>
      </c>
      <c r="F505" s="21"/>
      <c r="G505" s="22">
        <v>1.0</v>
      </c>
      <c r="H505" s="22" t="s">
        <v>239</v>
      </c>
      <c r="I505" s="58">
        <v>74.3</v>
      </c>
      <c r="J505" s="58">
        <v>81.06</v>
      </c>
      <c r="K505" s="21" t="s">
        <v>1298</v>
      </c>
    </row>
    <row r="506" ht="21.75" customHeight="1">
      <c r="A506" s="20">
        <v>45995.0</v>
      </c>
      <c r="B506" s="21" t="s">
        <v>1299</v>
      </c>
      <c r="C506" s="21" t="s">
        <v>157</v>
      </c>
      <c r="D506" s="21" t="s">
        <v>349</v>
      </c>
      <c r="E506" s="21" t="s">
        <v>1300</v>
      </c>
      <c r="F506" s="21"/>
      <c r="G506" s="22">
        <v>7.0</v>
      </c>
      <c r="H506" s="22" t="s">
        <v>239</v>
      </c>
      <c r="I506" s="58">
        <v>9.79</v>
      </c>
      <c r="J506" s="58">
        <v>68.53</v>
      </c>
      <c r="K506" s="21" t="s">
        <v>1302</v>
      </c>
    </row>
    <row r="507" ht="21.75" customHeight="1">
      <c r="A507" s="20">
        <v>45995.0</v>
      </c>
      <c r="B507" s="21" t="s">
        <v>1303</v>
      </c>
      <c r="C507" s="21" t="s">
        <v>157</v>
      </c>
      <c r="D507" s="21" t="s">
        <v>349</v>
      </c>
      <c r="E507" s="21" t="s">
        <v>1305</v>
      </c>
      <c r="F507" s="21"/>
      <c r="G507" s="22">
        <v>4.0</v>
      </c>
      <c r="H507" s="22" t="s">
        <v>239</v>
      </c>
      <c r="I507" s="58">
        <v>9.49</v>
      </c>
      <c r="J507" s="58">
        <v>37.96</v>
      </c>
      <c r="K507" s="21" t="s">
        <v>1307</v>
      </c>
    </row>
    <row r="508" ht="21.75" customHeight="1">
      <c r="A508" s="20">
        <v>45995.0</v>
      </c>
      <c r="B508" s="21" t="s">
        <v>1303</v>
      </c>
      <c r="C508" s="21" t="s">
        <v>157</v>
      </c>
      <c r="D508" s="21" t="s">
        <v>349</v>
      </c>
      <c r="E508" s="21" t="s">
        <v>1305</v>
      </c>
      <c r="F508" s="21"/>
      <c r="G508" s="22">
        <v>1.0</v>
      </c>
      <c r="H508" s="22" t="s">
        <v>239</v>
      </c>
      <c r="I508" s="58">
        <v>9.49</v>
      </c>
      <c r="J508" s="58">
        <v>9.49</v>
      </c>
      <c r="K508" s="21" t="s">
        <v>1307</v>
      </c>
    </row>
    <row r="509" ht="21.75" customHeight="1">
      <c r="A509" s="20">
        <v>45995.0</v>
      </c>
      <c r="B509" s="21" t="s">
        <v>1309</v>
      </c>
      <c r="C509" s="21" t="s">
        <v>157</v>
      </c>
      <c r="D509" s="21" t="s">
        <v>452</v>
      </c>
      <c r="E509" s="21" t="s">
        <v>1250</v>
      </c>
      <c r="F509" s="21"/>
      <c r="G509" s="22">
        <v>1.0</v>
      </c>
      <c r="H509" s="22" t="s">
        <v>239</v>
      </c>
      <c r="I509" s="58">
        <v>8.81</v>
      </c>
      <c r="J509" s="58">
        <v>8.81</v>
      </c>
      <c r="K509" s="21" t="s">
        <v>1251</v>
      </c>
    </row>
    <row r="510" ht="21.75" customHeight="1">
      <c r="A510" s="20">
        <v>45995.0</v>
      </c>
      <c r="B510" s="21" t="s">
        <v>1309</v>
      </c>
      <c r="C510" s="21" t="s">
        <v>157</v>
      </c>
      <c r="D510" s="21" t="s">
        <v>226</v>
      </c>
      <c r="E510" s="21" t="s">
        <v>1310</v>
      </c>
      <c r="F510" s="21"/>
      <c r="G510" s="22">
        <v>2.0</v>
      </c>
      <c r="H510" s="22" t="s">
        <v>239</v>
      </c>
      <c r="I510" s="58">
        <v>21.59</v>
      </c>
      <c r="J510" s="58">
        <v>43.18</v>
      </c>
      <c r="K510" s="21" t="s">
        <v>1311</v>
      </c>
    </row>
    <row r="511" ht="21.75" customHeight="1">
      <c r="A511" s="20">
        <v>45995.0</v>
      </c>
      <c r="B511" s="21" t="s">
        <v>1312</v>
      </c>
      <c r="C511" s="21" t="s">
        <v>157</v>
      </c>
      <c r="D511" s="21" t="s">
        <v>226</v>
      </c>
      <c r="E511" s="21" t="s">
        <v>1313</v>
      </c>
      <c r="F511" s="21"/>
      <c r="G511" s="22">
        <v>1.0</v>
      </c>
      <c r="H511" s="22" t="s">
        <v>239</v>
      </c>
      <c r="I511" s="58">
        <v>18.53</v>
      </c>
      <c r="J511" s="58">
        <v>18.53</v>
      </c>
      <c r="K511" s="21" t="s">
        <v>1314</v>
      </c>
    </row>
    <row r="512" ht="21.75" customHeight="1">
      <c r="A512" s="20">
        <v>45999.0</v>
      </c>
      <c r="B512" s="21" t="s">
        <v>1315</v>
      </c>
      <c r="C512" s="21" t="s">
        <v>176</v>
      </c>
      <c r="D512" s="21" t="s">
        <v>175</v>
      </c>
      <c r="E512" s="21" t="s">
        <v>225</v>
      </c>
      <c r="F512" s="21" t="s">
        <v>563</v>
      </c>
      <c r="G512" s="22">
        <v>1.0</v>
      </c>
      <c r="H512" s="22" t="s">
        <v>177</v>
      </c>
      <c r="I512" s="58">
        <v>70.0</v>
      </c>
      <c r="J512" s="58">
        <f t="shared" ref="J512:J521" si="13">G512*I512</f>
        <v>70</v>
      </c>
      <c r="K512" s="21" t="s">
        <v>1316</v>
      </c>
    </row>
    <row r="513" ht="21.75" customHeight="1">
      <c r="A513" s="20">
        <v>45999.0</v>
      </c>
      <c r="B513" s="21" t="s">
        <v>1315</v>
      </c>
      <c r="C513" s="21" t="s">
        <v>176</v>
      </c>
      <c r="D513" s="21" t="s">
        <v>175</v>
      </c>
      <c r="E513" s="21" t="s">
        <v>1317</v>
      </c>
      <c r="F513" s="21" t="s">
        <v>1318</v>
      </c>
      <c r="G513" s="22">
        <v>1.0</v>
      </c>
      <c r="H513" s="22" t="s">
        <v>177</v>
      </c>
      <c r="I513" s="58">
        <v>98.5</v>
      </c>
      <c r="J513" s="58">
        <f t="shared" si="13"/>
        <v>98.5</v>
      </c>
      <c r="K513" s="21" t="s">
        <v>1319</v>
      </c>
    </row>
    <row r="514" ht="21.75" customHeight="1">
      <c r="A514" s="20">
        <v>45999.0</v>
      </c>
      <c r="B514" s="21" t="s">
        <v>1315</v>
      </c>
      <c r="C514" s="21" t="s">
        <v>176</v>
      </c>
      <c r="D514" s="21" t="s">
        <v>175</v>
      </c>
      <c r="E514" s="21" t="s">
        <v>351</v>
      </c>
      <c r="F514" s="21" t="s">
        <v>521</v>
      </c>
      <c r="G514" s="22">
        <v>1.0</v>
      </c>
      <c r="H514" s="22" t="s">
        <v>177</v>
      </c>
      <c r="I514" s="58">
        <v>135.0</v>
      </c>
      <c r="J514" s="58">
        <f t="shared" si="13"/>
        <v>135</v>
      </c>
      <c r="K514" s="21"/>
    </row>
    <row r="515" ht="21.75" customHeight="1">
      <c r="A515" s="20">
        <v>45999.0</v>
      </c>
      <c r="B515" s="21" t="s">
        <v>1315</v>
      </c>
      <c r="C515" s="21" t="s">
        <v>176</v>
      </c>
      <c r="D515" s="21" t="s">
        <v>175</v>
      </c>
      <c r="E515" s="21" t="s">
        <v>1320</v>
      </c>
      <c r="F515" s="21" t="s">
        <v>1321</v>
      </c>
      <c r="G515" s="22">
        <v>1.0</v>
      </c>
      <c r="H515" s="22" t="s">
        <v>177</v>
      </c>
      <c r="I515" s="58">
        <v>70.87</v>
      </c>
      <c r="J515" s="58">
        <f t="shared" si="13"/>
        <v>70.87</v>
      </c>
      <c r="K515" s="21" t="s">
        <v>1323</v>
      </c>
    </row>
    <row r="516" ht="21.75" customHeight="1">
      <c r="A516" s="20">
        <v>45999.0</v>
      </c>
      <c r="B516" s="21" t="s">
        <v>1315</v>
      </c>
      <c r="C516" s="21" t="s">
        <v>176</v>
      </c>
      <c r="D516" s="21" t="s">
        <v>175</v>
      </c>
      <c r="E516" s="21" t="s">
        <v>968</v>
      </c>
      <c r="F516" s="21" t="s">
        <v>1324</v>
      </c>
      <c r="G516" s="22">
        <v>2.0</v>
      </c>
      <c r="H516" s="22" t="s">
        <v>177</v>
      </c>
      <c r="I516" s="58">
        <v>11.5</v>
      </c>
      <c r="J516" s="58">
        <f t="shared" si="13"/>
        <v>23</v>
      </c>
      <c r="K516" s="21" t="s">
        <v>1325</v>
      </c>
    </row>
    <row r="517" ht="21.75" customHeight="1">
      <c r="A517" s="20">
        <v>45999.0</v>
      </c>
      <c r="B517" s="21" t="s">
        <v>1315</v>
      </c>
      <c r="C517" s="21" t="s">
        <v>176</v>
      </c>
      <c r="D517" s="21" t="s">
        <v>175</v>
      </c>
      <c r="E517" s="21" t="s">
        <v>1326</v>
      </c>
      <c r="F517" s="21" t="s">
        <v>1327</v>
      </c>
      <c r="G517" s="22">
        <v>1.0</v>
      </c>
      <c r="H517" s="22" t="s">
        <v>177</v>
      </c>
      <c r="I517" s="58">
        <v>26.5</v>
      </c>
      <c r="J517" s="58">
        <f t="shared" si="13"/>
        <v>26.5</v>
      </c>
      <c r="K517" s="21" t="s">
        <v>1329</v>
      </c>
    </row>
    <row r="518" ht="21.75" customHeight="1">
      <c r="A518" s="20">
        <v>45999.0</v>
      </c>
      <c r="B518" s="21" t="s">
        <v>1315</v>
      </c>
      <c r="C518" s="21" t="s">
        <v>176</v>
      </c>
      <c r="D518" s="21" t="s">
        <v>175</v>
      </c>
      <c r="E518" s="21" t="s">
        <v>304</v>
      </c>
      <c r="F518" s="21" t="s">
        <v>518</v>
      </c>
      <c r="G518" s="22">
        <v>1.0</v>
      </c>
      <c r="H518" s="22" t="s">
        <v>177</v>
      </c>
      <c r="I518" s="58">
        <v>31.1</v>
      </c>
      <c r="J518" s="58">
        <f t="shared" si="13"/>
        <v>31.1</v>
      </c>
      <c r="K518" s="21" t="s">
        <v>1330</v>
      </c>
    </row>
    <row r="519" ht="21.75" customHeight="1">
      <c r="A519" s="20">
        <v>45999.0</v>
      </c>
      <c r="B519" s="21" t="s">
        <v>1315</v>
      </c>
      <c r="C519" s="21" t="s">
        <v>176</v>
      </c>
      <c r="D519" s="21" t="s">
        <v>175</v>
      </c>
      <c r="E519" s="21" t="s">
        <v>301</v>
      </c>
      <c r="F519" s="21" t="s">
        <v>1331</v>
      </c>
      <c r="G519" s="22">
        <v>1.0</v>
      </c>
      <c r="H519" s="22" t="s">
        <v>177</v>
      </c>
      <c r="I519" s="58">
        <v>75.99</v>
      </c>
      <c r="J519" s="58">
        <f t="shared" si="13"/>
        <v>75.99</v>
      </c>
      <c r="K519" s="21" t="s">
        <v>1332</v>
      </c>
    </row>
    <row r="520" ht="21.75" customHeight="1">
      <c r="A520" s="20">
        <v>45999.0</v>
      </c>
      <c r="B520" s="21" t="s">
        <v>1315</v>
      </c>
      <c r="C520" s="21" t="s">
        <v>176</v>
      </c>
      <c r="D520" s="21" t="s">
        <v>175</v>
      </c>
      <c r="E520" s="21" t="s">
        <v>1333</v>
      </c>
      <c r="F520" s="21" t="s">
        <v>1334</v>
      </c>
      <c r="G520" s="22">
        <v>1.0</v>
      </c>
      <c r="H520" s="22" t="s">
        <v>177</v>
      </c>
      <c r="I520" s="58">
        <v>73.15</v>
      </c>
      <c r="J520" s="58">
        <f t="shared" si="13"/>
        <v>73.15</v>
      </c>
      <c r="K520" s="21" t="s">
        <v>1335</v>
      </c>
    </row>
    <row r="521" ht="21.75" customHeight="1">
      <c r="A521" s="20">
        <v>45999.0</v>
      </c>
      <c r="B521" s="21" t="s">
        <v>1315</v>
      </c>
      <c r="C521" s="21" t="s">
        <v>176</v>
      </c>
      <c r="D521" s="21" t="s">
        <v>175</v>
      </c>
      <c r="E521" s="21" t="s">
        <v>281</v>
      </c>
      <c r="F521" s="21" t="s">
        <v>558</v>
      </c>
      <c r="G521" s="22">
        <v>1.0</v>
      </c>
      <c r="H521" s="22" t="s">
        <v>177</v>
      </c>
      <c r="I521" s="58">
        <v>12.99</v>
      </c>
      <c r="J521" s="58">
        <f t="shared" si="13"/>
        <v>12.99</v>
      </c>
      <c r="K521" s="21" t="s">
        <v>1336</v>
      </c>
    </row>
    <row r="522" ht="21.75" customHeight="1">
      <c r="A522" s="20">
        <v>46002.0</v>
      </c>
      <c r="B522" s="21" t="s">
        <v>1337</v>
      </c>
      <c r="C522" s="21" t="s">
        <v>157</v>
      </c>
      <c r="D522" s="21" t="s">
        <v>989</v>
      </c>
      <c r="E522" s="21" t="s">
        <v>1338</v>
      </c>
      <c r="F522" s="21"/>
      <c r="G522" s="22">
        <v>10.0</v>
      </c>
      <c r="H522" s="22" t="s">
        <v>239</v>
      </c>
      <c r="I522" s="58">
        <v>12.99</v>
      </c>
      <c r="J522" s="58">
        <v>131.81</v>
      </c>
      <c r="K522" s="21" t="s">
        <v>1339</v>
      </c>
    </row>
    <row r="523" ht="21.75" customHeight="1">
      <c r="A523" s="20">
        <v>46003.0</v>
      </c>
      <c r="B523" s="21" t="s">
        <v>1340</v>
      </c>
      <c r="C523" s="21" t="s">
        <v>157</v>
      </c>
      <c r="D523" s="21" t="s">
        <v>226</v>
      </c>
      <c r="E523" s="21" t="s">
        <v>1341</v>
      </c>
      <c r="F523" s="21"/>
      <c r="G523" s="22">
        <v>2.0</v>
      </c>
      <c r="H523" s="22" t="s">
        <v>239</v>
      </c>
      <c r="I523" s="58">
        <v>49.89</v>
      </c>
      <c r="J523" s="58">
        <v>108.86</v>
      </c>
      <c r="K523" s="21" t="s">
        <v>1342</v>
      </c>
    </row>
    <row r="524" ht="21.75" customHeight="1">
      <c r="A524" s="20">
        <v>46003.0</v>
      </c>
      <c r="B524" s="21" t="s">
        <v>1343</v>
      </c>
      <c r="C524" s="21" t="s">
        <v>157</v>
      </c>
      <c r="D524" s="21" t="s">
        <v>349</v>
      </c>
      <c r="E524" s="21" t="s">
        <v>1344</v>
      </c>
      <c r="F524" s="21"/>
      <c r="G524" s="22">
        <v>1.0</v>
      </c>
      <c r="H524" s="22" t="s">
        <v>239</v>
      </c>
      <c r="I524" s="58">
        <v>33.99</v>
      </c>
      <c r="J524" s="58">
        <v>37.08</v>
      </c>
      <c r="K524" s="21" t="s">
        <v>1345</v>
      </c>
    </row>
    <row r="525" ht="21.75" customHeight="1">
      <c r="A525" s="20">
        <v>46003.0</v>
      </c>
      <c r="B525" s="21" t="s">
        <v>1343</v>
      </c>
      <c r="C525" s="21" t="s">
        <v>157</v>
      </c>
      <c r="D525" s="21" t="s">
        <v>349</v>
      </c>
      <c r="E525" s="21" t="s">
        <v>1346</v>
      </c>
      <c r="F525" s="21"/>
      <c r="G525" s="22">
        <v>1.0</v>
      </c>
      <c r="H525" s="22" t="s">
        <v>239</v>
      </c>
      <c r="I525" s="58">
        <v>12.66</v>
      </c>
      <c r="J525" s="58">
        <v>11.32</v>
      </c>
      <c r="K525" s="21" t="s">
        <v>1347</v>
      </c>
    </row>
    <row r="526" ht="21.75" customHeight="1">
      <c r="A526" s="20">
        <v>46004.0</v>
      </c>
      <c r="B526" s="21" t="s">
        <v>1348</v>
      </c>
      <c r="C526" s="21" t="s">
        <v>157</v>
      </c>
      <c r="D526" s="21" t="s">
        <v>349</v>
      </c>
      <c r="E526" s="21" t="s">
        <v>1349</v>
      </c>
      <c r="F526" s="21"/>
      <c r="G526" s="22">
        <v>1.0</v>
      </c>
      <c r="H526" s="22" t="s">
        <v>239</v>
      </c>
      <c r="I526" s="58">
        <v>17.81</v>
      </c>
      <c r="J526" s="58">
        <v>19.43</v>
      </c>
      <c r="K526" s="21" t="s">
        <v>1350</v>
      </c>
    </row>
    <row r="527" ht="21.75" customHeight="1">
      <c r="A527" s="20">
        <v>46004.0</v>
      </c>
      <c r="B527" s="21" t="s">
        <v>1348</v>
      </c>
      <c r="C527" s="21" t="s">
        <v>157</v>
      </c>
      <c r="D527" s="21" t="s">
        <v>271</v>
      </c>
      <c r="E527" s="21" t="s">
        <v>1351</v>
      </c>
      <c r="F527" s="21"/>
      <c r="G527" s="22">
        <v>1.0</v>
      </c>
      <c r="H527" s="22" t="s">
        <v>239</v>
      </c>
      <c r="I527" s="58">
        <v>22.99</v>
      </c>
      <c r="J527" s="58">
        <v>25.08</v>
      </c>
      <c r="K527" s="21" t="s">
        <v>1352</v>
      </c>
    </row>
    <row r="528" ht="21.75" customHeight="1">
      <c r="A528" s="20">
        <v>46004.0</v>
      </c>
      <c r="B528" s="21" t="s">
        <v>1348</v>
      </c>
      <c r="C528" s="21" t="s">
        <v>157</v>
      </c>
      <c r="D528" s="21" t="s">
        <v>42</v>
      </c>
      <c r="E528" s="21" t="s">
        <v>1353</v>
      </c>
      <c r="F528" s="21"/>
      <c r="G528" s="22">
        <v>1.0</v>
      </c>
      <c r="H528" s="22" t="s">
        <v>239</v>
      </c>
      <c r="I528" s="58">
        <v>11.39</v>
      </c>
      <c r="J528" s="58">
        <v>12.43</v>
      </c>
      <c r="K528" s="21" t="s">
        <v>1354</v>
      </c>
    </row>
    <row r="529" ht="21.75" customHeight="1">
      <c r="A529" s="20">
        <v>46004.0</v>
      </c>
      <c r="B529" s="21" t="s">
        <v>1348</v>
      </c>
      <c r="C529" s="21" t="s">
        <v>157</v>
      </c>
      <c r="D529" s="21" t="s">
        <v>349</v>
      </c>
      <c r="E529" s="21" t="s">
        <v>940</v>
      </c>
      <c r="F529" s="21"/>
      <c r="G529" s="22">
        <v>1.0</v>
      </c>
      <c r="H529" s="22" t="s">
        <v>239</v>
      </c>
      <c r="I529" s="58">
        <v>54.94</v>
      </c>
      <c r="J529" s="58">
        <v>59.94</v>
      </c>
      <c r="K529" s="21" t="s">
        <v>1325</v>
      </c>
    </row>
    <row r="530" ht="21.75" customHeight="1">
      <c r="A530" s="20">
        <v>46006.0</v>
      </c>
      <c r="B530" s="21" t="s">
        <v>1355</v>
      </c>
      <c r="C530" s="21" t="s">
        <v>176</v>
      </c>
      <c r="D530" s="21" t="s">
        <v>175</v>
      </c>
      <c r="E530" s="21" t="s">
        <v>220</v>
      </c>
      <c r="F530" s="21" t="s">
        <v>513</v>
      </c>
      <c r="G530" s="22">
        <v>2.0</v>
      </c>
      <c r="H530" s="22" t="s">
        <v>177</v>
      </c>
      <c r="I530" s="58">
        <v>275.0</v>
      </c>
      <c r="J530" s="58">
        <f t="shared" ref="J530:J531" si="14">G530*I530</f>
        <v>550</v>
      </c>
      <c r="K530" s="21" t="s">
        <v>1358</v>
      </c>
    </row>
    <row r="531" ht="21.75" customHeight="1">
      <c r="A531" s="20">
        <v>46006.0</v>
      </c>
      <c r="B531" s="21" t="s">
        <v>1355</v>
      </c>
      <c r="C531" s="21" t="s">
        <v>176</v>
      </c>
      <c r="D531" s="21" t="s">
        <v>175</v>
      </c>
      <c r="E531" s="21" t="s">
        <v>1359</v>
      </c>
      <c r="F531" s="21" t="s">
        <v>1360</v>
      </c>
      <c r="G531" s="22">
        <v>1.0</v>
      </c>
      <c r="H531" s="22" t="s">
        <v>177</v>
      </c>
      <c r="I531" s="58">
        <v>97.5</v>
      </c>
      <c r="J531" s="58">
        <f t="shared" si="14"/>
        <v>97.5</v>
      </c>
      <c r="K531" s="21" t="s">
        <v>1253</v>
      </c>
    </row>
    <row r="532" ht="21.75" customHeight="1">
      <c r="A532" s="20">
        <v>46010.0</v>
      </c>
      <c r="B532" s="21" t="s">
        <v>1362</v>
      </c>
      <c r="C532" s="21" t="s">
        <v>157</v>
      </c>
      <c r="D532" s="21" t="s">
        <v>226</v>
      </c>
      <c r="E532" s="21" t="s">
        <v>1061</v>
      </c>
      <c r="F532" s="21"/>
      <c r="G532" s="22">
        <v>2.0</v>
      </c>
      <c r="H532" s="22" t="s">
        <v>239</v>
      </c>
      <c r="I532" s="58">
        <v>27.54</v>
      </c>
      <c r="J532" s="58">
        <v>60.1</v>
      </c>
      <c r="K532" s="21" t="s">
        <v>1119</v>
      </c>
    </row>
    <row r="533" ht="21.75" customHeight="1">
      <c r="A533" s="20">
        <v>46010.0</v>
      </c>
      <c r="B533" s="21" t="s">
        <v>1363</v>
      </c>
      <c r="C533" s="21" t="s">
        <v>157</v>
      </c>
      <c r="D533" s="21" t="s">
        <v>271</v>
      </c>
      <c r="E533" s="21" t="s">
        <v>1057</v>
      </c>
      <c r="F533" s="21"/>
      <c r="G533" s="22">
        <v>1.0</v>
      </c>
      <c r="H533" s="22" t="s">
        <v>239</v>
      </c>
      <c r="I533" s="58">
        <v>33.83</v>
      </c>
      <c r="J533" s="58">
        <v>36.91</v>
      </c>
      <c r="K533" s="21" t="s">
        <v>104</v>
      </c>
    </row>
    <row r="534" ht="21.75" customHeight="1">
      <c r="A534" s="20">
        <v>46010.0</v>
      </c>
      <c r="B534" s="21" t="s">
        <v>1363</v>
      </c>
      <c r="C534" s="21" t="s">
        <v>157</v>
      </c>
      <c r="D534" s="21" t="s">
        <v>989</v>
      </c>
      <c r="E534" s="21" t="s">
        <v>1364</v>
      </c>
      <c r="F534" s="21"/>
      <c r="G534" s="22">
        <v>4.0</v>
      </c>
      <c r="H534" s="22" t="s">
        <v>239</v>
      </c>
      <c r="I534" s="58">
        <v>13.57</v>
      </c>
      <c r="J534" s="58">
        <v>54.28</v>
      </c>
      <c r="K534" s="21" t="s">
        <v>1365</v>
      </c>
    </row>
    <row r="535" ht="21.75" customHeight="1">
      <c r="A535" s="20">
        <v>46010.0</v>
      </c>
      <c r="B535" s="21" t="s">
        <v>1363</v>
      </c>
      <c r="C535" s="21" t="s">
        <v>157</v>
      </c>
      <c r="D535" s="21" t="s">
        <v>989</v>
      </c>
      <c r="E535" s="21" t="s">
        <v>1364</v>
      </c>
      <c r="F535" s="21"/>
      <c r="G535" s="22">
        <v>2.0</v>
      </c>
      <c r="H535" s="22" t="s">
        <v>239</v>
      </c>
      <c r="I535" s="58">
        <v>13.57</v>
      </c>
      <c r="J535" s="58">
        <v>27.14</v>
      </c>
      <c r="K535" s="21" t="s">
        <v>1365</v>
      </c>
    </row>
    <row r="536" ht="21.75" customHeight="1">
      <c r="A536" s="20">
        <v>46010.0</v>
      </c>
      <c r="B536" s="21" t="s">
        <v>1363</v>
      </c>
      <c r="C536" s="21" t="s">
        <v>157</v>
      </c>
      <c r="D536" s="21" t="s">
        <v>989</v>
      </c>
      <c r="E536" s="21" t="s">
        <v>1364</v>
      </c>
      <c r="F536" s="21"/>
      <c r="G536" s="22">
        <v>2.0</v>
      </c>
      <c r="H536" s="22" t="s">
        <v>239</v>
      </c>
      <c r="I536" s="58">
        <v>13.57</v>
      </c>
      <c r="J536" s="58">
        <v>29.6</v>
      </c>
      <c r="K536" s="21" t="s">
        <v>1365</v>
      </c>
    </row>
    <row r="537" ht="21.75" customHeight="1">
      <c r="A537" s="20">
        <v>46014.0</v>
      </c>
      <c r="B537" s="21" t="s">
        <v>1366</v>
      </c>
      <c r="C537" s="21" t="s">
        <v>157</v>
      </c>
      <c r="D537" s="21" t="s">
        <v>271</v>
      </c>
      <c r="E537" s="21" t="s">
        <v>1037</v>
      </c>
      <c r="F537" s="21"/>
      <c r="G537" s="22">
        <v>1.0</v>
      </c>
      <c r="H537" s="22" t="s">
        <v>239</v>
      </c>
      <c r="I537" s="58">
        <v>12.73</v>
      </c>
      <c r="J537" s="58">
        <v>12.73</v>
      </c>
      <c r="K537" s="21" t="s">
        <v>1135</v>
      </c>
    </row>
    <row r="538" ht="21.75" customHeight="1">
      <c r="A538" s="20">
        <v>46014.0</v>
      </c>
      <c r="B538" s="21" t="s">
        <v>1366</v>
      </c>
      <c r="C538" s="21" t="s">
        <v>157</v>
      </c>
      <c r="D538" s="21" t="s">
        <v>271</v>
      </c>
      <c r="E538" s="21" t="s">
        <v>1367</v>
      </c>
      <c r="F538" s="21"/>
      <c r="G538" s="22">
        <v>1.0</v>
      </c>
      <c r="H538" s="22" t="s">
        <v>239</v>
      </c>
      <c r="I538" s="58">
        <v>31.94</v>
      </c>
      <c r="J538" s="58">
        <v>31.94</v>
      </c>
      <c r="K538" s="21" t="s">
        <v>1368</v>
      </c>
    </row>
    <row r="539" ht="21.75" customHeight="1">
      <c r="A539" s="20">
        <v>46014.0</v>
      </c>
      <c r="B539" s="21" t="s">
        <v>1366</v>
      </c>
      <c r="C539" s="21" t="s">
        <v>157</v>
      </c>
      <c r="D539" s="21" t="s">
        <v>271</v>
      </c>
      <c r="E539" s="21" t="s">
        <v>1369</v>
      </c>
      <c r="F539" s="21"/>
      <c r="G539" s="22">
        <v>1.0</v>
      </c>
      <c r="H539" s="22" t="s">
        <v>239</v>
      </c>
      <c r="I539" s="58">
        <v>23.99</v>
      </c>
      <c r="J539" s="58">
        <v>23.99</v>
      </c>
      <c r="K539" s="21" t="s">
        <v>1370</v>
      </c>
    </row>
    <row r="540" ht="21.75" customHeight="1">
      <c r="A540" s="20">
        <v>46019.0</v>
      </c>
      <c r="B540" s="21" t="s">
        <v>1371</v>
      </c>
      <c r="C540" s="21" t="s">
        <v>157</v>
      </c>
      <c r="D540" s="21" t="s">
        <v>271</v>
      </c>
      <c r="E540" s="21" t="s">
        <v>1372</v>
      </c>
      <c r="F540" s="21"/>
      <c r="G540" s="22">
        <v>1.0</v>
      </c>
      <c r="H540" s="22" t="s">
        <v>239</v>
      </c>
      <c r="I540" s="58">
        <v>23.99</v>
      </c>
      <c r="J540" s="58">
        <v>23.99</v>
      </c>
      <c r="K540" s="21" t="s">
        <v>1373</v>
      </c>
    </row>
    <row r="541" ht="21.75" customHeight="1">
      <c r="A541" s="20">
        <v>46019.0</v>
      </c>
      <c r="B541" s="21" t="s">
        <v>1371</v>
      </c>
      <c r="C541" s="21" t="s">
        <v>157</v>
      </c>
      <c r="D541" s="21" t="s">
        <v>271</v>
      </c>
      <c r="E541" s="21" t="s">
        <v>1375</v>
      </c>
      <c r="F541" s="21"/>
      <c r="G541" s="22">
        <v>1.0</v>
      </c>
      <c r="H541" s="22" t="s">
        <v>239</v>
      </c>
      <c r="I541" s="58">
        <v>21.99</v>
      </c>
      <c r="J541" s="58">
        <v>21.99</v>
      </c>
      <c r="K541" s="21" t="s">
        <v>1135</v>
      </c>
    </row>
    <row r="542" ht="21.75" customHeight="1">
      <c r="A542" s="20">
        <v>46019.0</v>
      </c>
      <c r="B542" s="21" t="s">
        <v>1371</v>
      </c>
      <c r="C542" s="21" t="s">
        <v>157</v>
      </c>
      <c r="D542" s="21" t="s">
        <v>271</v>
      </c>
      <c r="E542" s="21" t="s">
        <v>1376</v>
      </c>
      <c r="F542" s="21"/>
      <c r="G542" s="22">
        <v>1.0</v>
      </c>
      <c r="H542" s="22" t="s">
        <v>239</v>
      </c>
      <c r="I542" s="58">
        <v>11.4</v>
      </c>
      <c r="J542" s="58">
        <v>11.4</v>
      </c>
      <c r="K542" s="21" t="s">
        <v>1377</v>
      </c>
    </row>
    <row r="543" ht="21.75" customHeight="1">
      <c r="A543" s="20">
        <v>46024.0</v>
      </c>
      <c r="B543" s="21" t="s">
        <v>1379</v>
      </c>
      <c r="C543" s="21" t="s">
        <v>157</v>
      </c>
      <c r="D543" s="21" t="s">
        <v>271</v>
      </c>
      <c r="E543" s="21" t="s">
        <v>1380</v>
      </c>
      <c r="F543" s="21"/>
      <c r="G543" s="22">
        <v>2.0</v>
      </c>
      <c r="H543" s="22" t="s">
        <v>239</v>
      </c>
      <c r="I543" s="58">
        <v>6.97</v>
      </c>
      <c r="J543" s="58">
        <v>13.94</v>
      </c>
      <c r="K543" s="21" t="s">
        <v>1147</v>
      </c>
    </row>
    <row r="544" ht="21.75" customHeight="1">
      <c r="A544" s="20">
        <v>46024.0</v>
      </c>
      <c r="B544" s="21" t="s">
        <v>1379</v>
      </c>
      <c r="C544" s="21" t="s">
        <v>157</v>
      </c>
      <c r="D544" s="21" t="s">
        <v>271</v>
      </c>
      <c r="E544" s="21" t="s">
        <v>1380</v>
      </c>
      <c r="F544" s="21"/>
      <c r="G544" s="22">
        <v>2.0</v>
      </c>
      <c r="H544" s="22" t="s">
        <v>239</v>
      </c>
      <c r="I544" s="58">
        <v>6.97</v>
      </c>
      <c r="J544" s="58">
        <v>13.94</v>
      </c>
      <c r="K544" s="21" t="s">
        <v>1147</v>
      </c>
    </row>
    <row r="545" ht="21.75" customHeight="1">
      <c r="A545" s="20">
        <v>46024.0</v>
      </c>
      <c r="B545" s="21" t="s">
        <v>1379</v>
      </c>
      <c r="C545" s="21" t="s">
        <v>157</v>
      </c>
      <c r="D545" s="21" t="s">
        <v>271</v>
      </c>
      <c r="E545" s="21" t="s">
        <v>1380</v>
      </c>
      <c r="F545" s="21"/>
      <c r="G545" s="22">
        <v>2.0</v>
      </c>
      <c r="H545" s="22" t="s">
        <v>239</v>
      </c>
      <c r="I545" s="58">
        <v>6.97</v>
      </c>
      <c r="J545" s="58">
        <v>13.94</v>
      </c>
      <c r="K545" s="21" t="s">
        <v>1147</v>
      </c>
    </row>
    <row r="546" ht="21.75" customHeight="1">
      <c r="A546" s="20">
        <v>46028.0</v>
      </c>
      <c r="B546" s="21" t="s">
        <v>1381</v>
      </c>
      <c r="C546" s="21" t="s">
        <v>176</v>
      </c>
      <c r="D546" s="21" t="s">
        <v>175</v>
      </c>
      <c r="E546" s="21" t="s">
        <v>174</v>
      </c>
      <c r="F546" s="21" t="s">
        <v>686</v>
      </c>
      <c r="G546" s="22">
        <v>25.0</v>
      </c>
      <c r="H546" s="22" t="s">
        <v>177</v>
      </c>
      <c r="I546" s="58">
        <v>6.95</v>
      </c>
      <c r="J546" s="58">
        <f t="shared" ref="J546:J553" si="15">G546*I546</f>
        <v>173.75</v>
      </c>
      <c r="K546" s="21" t="s">
        <v>1382</v>
      </c>
    </row>
    <row r="547" ht="21.75" customHeight="1">
      <c r="A547" s="20">
        <v>46028.0</v>
      </c>
      <c r="B547" s="21" t="s">
        <v>1381</v>
      </c>
      <c r="C547" s="21" t="s">
        <v>176</v>
      </c>
      <c r="D547" s="21" t="s">
        <v>175</v>
      </c>
      <c r="E547" s="21" t="s">
        <v>1383</v>
      </c>
      <c r="F547" s="21" t="s">
        <v>1384</v>
      </c>
      <c r="G547" s="22">
        <v>1.0</v>
      </c>
      <c r="H547" s="22" t="s">
        <v>177</v>
      </c>
      <c r="I547" s="58">
        <v>15.8</v>
      </c>
      <c r="J547" s="58">
        <f t="shared" si="15"/>
        <v>15.8</v>
      </c>
      <c r="K547" s="21" t="s">
        <v>1184</v>
      </c>
    </row>
    <row r="548" ht="21.75" customHeight="1">
      <c r="A548" s="20">
        <v>46028.0</v>
      </c>
      <c r="B548" s="21" t="s">
        <v>1381</v>
      </c>
      <c r="C548" s="21" t="s">
        <v>176</v>
      </c>
      <c r="D548" s="21" t="s">
        <v>175</v>
      </c>
      <c r="E548" s="21" t="s">
        <v>1385</v>
      </c>
      <c r="F548" s="21" t="s">
        <v>1386</v>
      </c>
      <c r="G548" s="22">
        <v>1.0</v>
      </c>
      <c r="H548" s="22" t="s">
        <v>177</v>
      </c>
      <c r="I548" s="58">
        <v>16.3</v>
      </c>
      <c r="J548" s="58">
        <f t="shared" si="15"/>
        <v>16.3</v>
      </c>
      <c r="K548" s="21" t="s">
        <v>1387</v>
      </c>
    </row>
    <row r="549" ht="21.75" customHeight="1">
      <c r="A549" s="20">
        <v>46028.0</v>
      </c>
      <c r="B549" s="21" t="s">
        <v>1381</v>
      </c>
      <c r="C549" s="21" t="s">
        <v>176</v>
      </c>
      <c r="D549" s="21" t="s">
        <v>175</v>
      </c>
      <c r="E549" s="21" t="s">
        <v>509</v>
      </c>
      <c r="F549" s="21" t="s">
        <v>510</v>
      </c>
      <c r="G549" s="22">
        <v>2.0</v>
      </c>
      <c r="H549" s="22" t="s">
        <v>177</v>
      </c>
      <c r="I549" s="58">
        <v>18.0</v>
      </c>
      <c r="J549" s="58">
        <f t="shared" si="15"/>
        <v>36</v>
      </c>
      <c r="K549" s="21" t="s">
        <v>1207</v>
      </c>
    </row>
    <row r="550" ht="21.75" customHeight="1">
      <c r="A550" s="20">
        <v>46028.0</v>
      </c>
      <c r="B550" s="21" t="s">
        <v>1381</v>
      </c>
      <c r="C550" s="21" t="s">
        <v>176</v>
      </c>
      <c r="D550" s="21" t="s">
        <v>175</v>
      </c>
      <c r="E550" s="21" t="s">
        <v>256</v>
      </c>
      <c r="F550" s="21" t="s">
        <v>536</v>
      </c>
      <c r="G550" s="22">
        <v>2.0</v>
      </c>
      <c r="H550" s="22" t="s">
        <v>177</v>
      </c>
      <c r="I550" s="58">
        <v>48.0</v>
      </c>
      <c r="J550" s="58">
        <f t="shared" si="15"/>
        <v>96</v>
      </c>
      <c r="K550" s="21" t="s">
        <v>1388</v>
      </c>
    </row>
    <row r="551" ht="21.75" customHeight="1">
      <c r="A551" s="20">
        <v>46028.0</v>
      </c>
      <c r="B551" s="21" t="s">
        <v>1381</v>
      </c>
      <c r="C551" s="21" t="s">
        <v>176</v>
      </c>
      <c r="D551" s="21" t="s">
        <v>175</v>
      </c>
      <c r="E551" s="21" t="s">
        <v>959</v>
      </c>
      <c r="F551" s="21" t="s">
        <v>1099</v>
      </c>
      <c r="G551" s="22">
        <v>1.0</v>
      </c>
      <c r="H551" s="22" t="s">
        <v>177</v>
      </c>
      <c r="I551" s="58">
        <v>17.0</v>
      </c>
      <c r="J551" s="58">
        <f t="shared" si="15"/>
        <v>17</v>
      </c>
      <c r="K551" s="21" t="s">
        <v>1103</v>
      </c>
    </row>
    <row r="552" ht="21.75" customHeight="1">
      <c r="A552" s="20">
        <v>46028.0</v>
      </c>
      <c r="B552" s="21" t="s">
        <v>1381</v>
      </c>
      <c r="C552" s="21" t="s">
        <v>176</v>
      </c>
      <c r="D552" s="21" t="s">
        <v>175</v>
      </c>
      <c r="E552" s="21" t="s">
        <v>1390</v>
      </c>
      <c r="F552" s="21" t="s">
        <v>1391</v>
      </c>
      <c r="G552" s="22">
        <v>1.0</v>
      </c>
      <c r="H552" s="22" t="s">
        <v>177</v>
      </c>
      <c r="I552" s="58">
        <v>24.0</v>
      </c>
      <c r="J552" s="58">
        <f t="shared" si="15"/>
        <v>24</v>
      </c>
      <c r="K552" s="21" t="s">
        <v>1393</v>
      </c>
    </row>
    <row r="553" ht="21.75" customHeight="1">
      <c r="A553" s="20">
        <v>46028.0</v>
      </c>
      <c r="B553" s="21" t="s">
        <v>1381</v>
      </c>
      <c r="C553" s="21" t="s">
        <v>176</v>
      </c>
      <c r="D553" s="21" t="s">
        <v>175</v>
      </c>
      <c r="E553" s="21" t="s">
        <v>967</v>
      </c>
      <c r="F553" s="21" t="s">
        <v>1394</v>
      </c>
      <c r="G553" s="22">
        <v>2.0</v>
      </c>
      <c r="H553" s="22" t="s">
        <v>177</v>
      </c>
      <c r="I553" s="58">
        <v>11.5</v>
      </c>
      <c r="J553" s="58">
        <f t="shared" si="15"/>
        <v>23</v>
      </c>
      <c r="K553" s="21" t="s">
        <v>1395</v>
      </c>
    </row>
    <row r="554" ht="21.75" customHeight="1">
      <c r="A554" s="20">
        <v>46028.0</v>
      </c>
      <c r="B554" s="21" t="s">
        <v>1396</v>
      </c>
      <c r="C554" s="21" t="s">
        <v>157</v>
      </c>
      <c r="D554" s="21" t="s">
        <v>349</v>
      </c>
      <c r="E554" s="21" t="s">
        <v>1397</v>
      </c>
      <c r="F554" s="21"/>
      <c r="G554" s="22">
        <v>2.0</v>
      </c>
      <c r="H554" s="22" t="s">
        <v>239</v>
      </c>
      <c r="I554" s="58">
        <v>7.39</v>
      </c>
      <c r="J554" s="58">
        <v>14.78</v>
      </c>
      <c r="K554" s="21" t="s">
        <v>1398</v>
      </c>
    </row>
    <row r="555" ht="21.75" customHeight="1">
      <c r="A555" s="20">
        <v>46028.0</v>
      </c>
      <c r="B555" s="21" t="s">
        <v>1396</v>
      </c>
      <c r="C555" s="21" t="s">
        <v>157</v>
      </c>
      <c r="D555" s="21" t="s">
        <v>349</v>
      </c>
      <c r="E555" s="21" t="s">
        <v>1397</v>
      </c>
      <c r="F555" s="21"/>
      <c r="G555" s="22">
        <v>8.0</v>
      </c>
      <c r="H555" s="22" t="s">
        <v>239</v>
      </c>
      <c r="I555" s="58">
        <v>7.39</v>
      </c>
      <c r="J555" s="58">
        <v>59.12</v>
      </c>
      <c r="K555" s="21" t="s">
        <v>1398</v>
      </c>
    </row>
    <row r="556" ht="21.75" customHeight="1">
      <c r="A556" s="20">
        <v>46028.0</v>
      </c>
      <c r="B556" s="21" t="s">
        <v>1399</v>
      </c>
      <c r="C556" s="21" t="s">
        <v>157</v>
      </c>
      <c r="D556" s="21" t="s">
        <v>452</v>
      </c>
      <c r="E556" s="21" t="s">
        <v>1400</v>
      </c>
      <c r="F556" s="21"/>
      <c r="G556" s="22">
        <v>10.0</v>
      </c>
      <c r="H556" s="22" t="s">
        <v>239</v>
      </c>
      <c r="I556" s="58">
        <v>17.99</v>
      </c>
      <c r="J556" s="58">
        <v>179.9</v>
      </c>
      <c r="K556" s="21" t="s">
        <v>1401</v>
      </c>
    </row>
    <row r="557" ht="21.75" customHeight="1">
      <c r="A557" s="20">
        <v>46028.0</v>
      </c>
      <c r="B557" s="21" t="s">
        <v>1399</v>
      </c>
      <c r="C557" s="21" t="s">
        <v>157</v>
      </c>
      <c r="D557" s="21" t="s">
        <v>452</v>
      </c>
      <c r="E557" s="21" t="s">
        <v>1402</v>
      </c>
      <c r="F557" s="21"/>
      <c r="G557" s="22">
        <v>12.0</v>
      </c>
      <c r="H557" s="22" t="s">
        <v>239</v>
      </c>
      <c r="I557" s="58">
        <v>23.39</v>
      </c>
      <c r="J557" s="58">
        <v>280.68</v>
      </c>
      <c r="K557" s="21" t="s">
        <v>1403</v>
      </c>
    </row>
    <row r="558" ht="21.75" customHeight="1">
      <c r="A558" s="20">
        <v>46028.0</v>
      </c>
      <c r="B558" s="21" t="s">
        <v>1404</v>
      </c>
      <c r="C558" s="21" t="s">
        <v>157</v>
      </c>
      <c r="D558" s="21" t="s">
        <v>271</v>
      </c>
      <c r="E558" s="21" t="s">
        <v>1111</v>
      </c>
      <c r="F558" s="21"/>
      <c r="G558" s="22">
        <v>10.0</v>
      </c>
      <c r="H558" s="22" t="s">
        <v>239</v>
      </c>
      <c r="I558" s="58">
        <v>39.99</v>
      </c>
      <c r="J558" s="58">
        <v>406.89</v>
      </c>
      <c r="K558" s="21" t="s">
        <v>1112</v>
      </c>
    </row>
    <row r="559" ht="21.75" customHeight="1">
      <c r="A559" s="20">
        <v>46028.0</v>
      </c>
      <c r="B559" s="21" t="s">
        <v>1405</v>
      </c>
      <c r="C559" s="21" t="s">
        <v>157</v>
      </c>
      <c r="D559" s="21" t="s">
        <v>42</v>
      </c>
      <c r="E559" s="21" t="s">
        <v>1028</v>
      </c>
      <c r="F559" s="21"/>
      <c r="G559" s="22">
        <v>1.0</v>
      </c>
      <c r="H559" s="22" t="s">
        <v>239</v>
      </c>
      <c r="I559" s="58">
        <v>7.99</v>
      </c>
      <c r="J559" s="58">
        <v>7.99</v>
      </c>
      <c r="K559" s="21" t="s">
        <v>1406</v>
      </c>
    </row>
    <row r="560" ht="21.75" customHeight="1">
      <c r="A560" s="20">
        <v>46028.0</v>
      </c>
      <c r="B560" s="21" t="s">
        <v>1405</v>
      </c>
      <c r="C560" s="21" t="s">
        <v>157</v>
      </c>
      <c r="D560" s="21" t="s">
        <v>271</v>
      </c>
      <c r="E560" s="21" t="s">
        <v>1407</v>
      </c>
      <c r="F560" s="21"/>
      <c r="G560" s="22">
        <v>2.0</v>
      </c>
      <c r="H560" s="22" t="s">
        <v>239</v>
      </c>
      <c r="I560" s="58">
        <v>9.69</v>
      </c>
      <c r="J560" s="58">
        <v>19.38</v>
      </c>
      <c r="K560" s="21" t="s">
        <v>1409</v>
      </c>
    </row>
    <row r="561" ht="21.75" customHeight="1">
      <c r="A561" s="20">
        <v>46028.0</v>
      </c>
      <c r="B561" s="21" t="s">
        <v>1405</v>
      </c>
      <c r="C561" s="21" t="s">
        <v>157</v>
      </c>
      <c r="D561" s="21" t="s">
        <v>452</v>
      </c>
      <c r="E561" s="21" t="s">
        <v>1026</v>
      </c>
      <c r="F561" s="21"/>
      <c r="G561" s="22">
        <v>15.0</v>
      </c>
      <c r="H561" s="22" t="s">
        <v>239</v>
      </c>
      <c r="I561" s="58">
        <v>16.99</v>
      </c>
      <c r="J561" s="58">
        <v>254.85</v>
      </c>
      <c r="K561" s="21" t="s">
        <v>1274</v>
      </c>
    </row>
    <row r="562" ht="21.75" customHeight="1">
      <c r="A562" s="20">
        <v>46028.0</v>
      </c>
      <c r="B562" s="21" t="s">
        <v>1405</v>
      </c>
      <c r="C562" s="21" t="s">
        <v>157</v>
      </c>
      <c r="D562" s="21" t="s">
        <v>42</v>
      </c>
      <c r="E562" s="21" t="s">
        <v>1030</v>
      </c>
      <c r="F562" s="21"/>
      <c r="G562" s="22">
        <v>3.0</v>
      </c>
      <c r="H562" s="22" t="s">
        <v>239</v>
      </c>
      <c r="I562" s="58">
        <v>8.99</v>
      </c>
      <c r="J562" s="58">
        <v>26.97</v>
      </c>
      <c r="K562" s="21" t="s">
        <v>1406</v>
      </c>
    </row>
    <row r="563" ht="21.75" customHeight="1">
      <c r="A563" s="20">
        <v>46028.0</v>
      </c>
      <c r="B563" s="21" t="s">
        <v>1405</v>
      </c>
      <c r="C563" s="21" t="s">
        <v>157</v>
      </c>
      <c r="D563" s="21" t="s">
        <v>226</v>
      </c>
      <c r="E563" s="21" t="s">
        <v>1053</v>
      </c>
      <c r="F563" s="21"/>
      <c r="G563" s="22">
        <v>16.0</v>
      </c>
      <c r="H563" s="22" t="s">
        <v>239</v>
      </c>
      <c r="I563" s="58">
        <v>18.39</v>
      </c>
      <c r="J563" s="58">
        <v>294.24</v>
      </c>
      <c r="K563" s="21" t="s">
        <v>1184</v>
      </c>
    </row>
    <row r="564" ht="21.75" customHeight="1">
      <c r="A564" s="20">
        <v>46028.0</v>
      </c>
      <c r="B564" s="21" t="s">
        <v>1405</v>
      </c>
      <c r="C564" s="21" t="s">
        <v>157</v>
      </c>
      <c r="D564" s="21" t="s">
        <v>226</v>
      </c>
      <c r="E564" s="21" t="s">
        <v>1053</v>
      </c>
      <c r="F564" s="21"/>
      <c r="G564" s="22">
        <v>4.0</v>
      </c>
      <c r="H564" s="22" t="s">
        <v>239</v>
      </c>
      <c r="I564" s="58">
        <v>18.39</v>
      </c>
      <c r="J564" s="58">
        <v>73.56</v>
      </c>
      <c r="K564" s="21" t="s">
        <v>1184</v>
      </c>
    </row>
    <row r="565" ht="21.75" customHeight="1">
      <c r="A565" s="20">
        <v>46028.0</v>
      </c>
      <c r="B565" s="21" t="s">
        <v>1405</v>
      </c>
      <c r="C565" s="21" t="s">
        <v>157</v>
      </c>
      <c r="D565" s="21" t="s">
        <v>42</v>
      </c>
      <c r="E565" s="21" t="s">
        <v>1028</v>
      </c>
      <c r="F565" s="21"/>
      <c r="G565" s="22">
        <v>2.0</v>
      </c>
      <c r="H565" s="22" t="s">
        <v>239</v>
      </c>
      <c r="I565" s="58">
        <v>7.99</v>
      </c>
      <c r="J565" s="58">
        <v>15.98</v>
      </c>
      <c r="K565" s="21" t="s">
        <v>1406</v>
      </c>
    </row>
    <row r="566" ht="21.75" customHeight="1">
      <c r="A566" s="20">
        <v>46030.0</v>
      </c>
      <c r="B566" s="21" t="s">
        <v>1411</v>
      </c>
      <c r="C566" s="21" t="s">
        <v>157</v>
      </c>
      <c r="D566" s="21" t="s">
        <v>271</v>
      </c>
      <c r="E566" s="21" t="s">
        <v>1412</v>
      </c>
      <c r="F566" s="21"/>
      <c r="G566" s="22">
        <v>1.0</v>
      </c>
      <c r="H566" s="22" t="s">
        <v>239</v>
      </c>
      <c r="I566" s="58">
        <v>14.99</v>
      </c>
      <c r="J566" s="58">
        <v>14.99</v>
      </c>
      <c r="K566" s="21" t="s">
        <v>1413</v>
      </c>
    </row>
    <row r="567" ht="21.75" customHeight="1">
      <c r="A567" s="20">
        <v>46030.0</v>
      </c>
      <c r="B567" s="21" t="s">
        <v>1414</v>
      </c>
      <c r="C567" s="21" t="s">
        <v>157</v>
      </c>
      <c r="D567" s="21" t="s">
        <v>989</v>
      </c>
      <c r="E567" s="21" t="s">
        <v>1415</v>
      </c>
      <c r="F567" s="21"/>
      <c r="G567" s="22">
        <v>1.0</v>
      </c>
      <c r="H567" s="22" t="s">
        <v>239</v>
      </c>
      <c r="I567" s="58">
        <v>5.89</v>
      </c>
      <c r="J567" s="58">
        <v>5.89</v>
      </c>
      <c r="K567" s="21" t="s">
        <v>1416</v>
      </c>
    </row>
    <row r="568" ht="21.75" customHeight="1">
      <c r="A568" s="20">
        <v>46030.0</v>
      </c>
      <c r="B568" s="21" t="s">
        <v>1414</v>
      </c>
      <c r="C568" s="21" t="s">
        <v>157</v>
      </c>
      <c r="D568" s="21" t="s">
        <v>271</v>
      </c>
      <c r="E568" s="21" t="s">
        <v>1417</v>
      </c>
      <c r="F568" s="21"/>
      <c r="G568" s="22">
        <v>1.0</v>
      </c>
      <c r="H568" s="22" t="s">
        <v>239</v>
      </c>
      <c r="I568" s="58">
        <v>17.68</v>
      </c>
      <c r="J568" s="58">
        <v>17.68</v>
      </c>
      <c r="K568" s="21" t="s">
        <v>1418</v>
      </c>
    </row>
    <row r="569" ht="21.75" customHeight="1">
      <c r="A569" s="20">
        <v>46034.0</v>
      </c>
      <c r="B569" s="21" t="s">
        <v>1419</v>
      </c>
      <c r="C569" s="21" t="s">
        <v>157</v>
      </c>
      <c r="D569" s="21" t="s">
        <v>271</v>
      </c>
      <c r="E569" s="21" t="s">
        <v>1420</v>
      </c>
      <c r="F569" s="21"/>
      <c r="G569" s="22">
        <v>1.0</v>
      </c>
      <c r="H569" s="22" t="s">
        <v>239</v>
      </c>
      <c r="I569" s="58">
        <v>14.69</v>
      </c>
      <c r="J569" s="58">
        <v>14.69</v>
      </c>
      <c r="K569" s="21" t="s">
        <v>1421</v>
      </c>
    </row>
    <row r="570" ht="21.75" customHeight="1">
      <c r="A570" s="20">
        <v>46034.0</v>
      </c>
      <c r="B570" s="21" t="s">
        <v>1419</v>
      </c>
      <c r="C570" s="21" t="s">
        <v>157</v>
      </c>
      <c r="D570" s="21" t="s">
        <v>349</v>
      </c>
      <c r="E570" s="21" t="s">
        <v>1422</v>
      </c>
      <c r="F570" s="21"/>
      <c r="G570" s="22">
        <v>3.0</v>
      </c>
      <c r="H570" s="22" t="s">
        <v>239</v>
      </c>
      <c r="I570" s="58">
        <v>5.99</v>
      </c>
      <c r="J570" s="58">
        <v>17.97</v>
      </c>
      <c r="K570" s="21" t="s">
        <v>1423</v>
      </c>
    </row>
    <row r="571" ht="21.75" customHeight="1">
      <c r="A571" s="20">
        <v>46034.0</v>
      </c>
      <c r="B571" s="21" t="s">
        <v>1419</v>
      </c>
      <c r="C571" s="21" t="s">
        <v>157</v>
      </c>
      <c r="D571" s="21" t="s">
        <v>271</v>
      </c>
      <c r="E571" s="21" t="s">
        <v>1424</v>
      </c>
      <c r="F571" s="21"/>
      <c r="G571" s="22">
        <v>2.0</v>
      </c>
      <c r="H571" s="22" t="s">
        <v>239</v>
      </c>
      <c r="I571" s="58">
        <v>10.95</v>
      </c>
      <c r="J571" s="58">
        <v>21.9</v>
      </c>
      <c r="K571" s="21" t="s">
        <v>1421</v>
      </c>
    </row>
    <row r="572" ht="21.75" customHeight="1">
      <c r="A572" s="20">
        <v>46035.0</v>
      </c>
      <c r="B572" s="21" t="s">
        <v>1425</v>
      </c>
      <c r="C572" s="21" t="s">
        <v>157</v>
      </c>
      <c r="D572" s="21" t="s">
        <v>226</v>
      </c>
      <c r="E572" s="21" t="s">
        <v>1426</v>
      </c>
      <c r="F572" s="21"/>
      <c r="G572" s="22">
        <v>1.0</v>
      </c>
      <c r="H572" s="22" t="s">
        <v>239</v>
      </c>
      <c r="I572" s="58">
        <v>9.99</v>
      </c>
      <c r="J572" s="58">
        <v>9.99</v>
      </c>
      <c r="K572" s="21" t="s">
        <v>1428</v>
      </c>
    </row>
    <row r="573" ht="21.75" customHeight="1">
      <c r="A573" s="20">
        <v>46035.0</v>
      </c>
      <c r="B573" s="21" t="s">
        <v>1425</v>
      </c>
      <c r="C573" s="21" t="s">
        <v>157</v>
      </c>
      <c r="D573" s="21" t="s">
        <v>271</v>
      </c>
      <c r="E573" s="21" t="s">
        <v>1429</v>
      </c>
      <c r="F573" s="21"/>
      <c r="G573" s="22">
        <v>1.0</v>
      </c>
      <c r="H573" s="22" t="s">
        <v>239</v>
      </c>
      <c r="I573" s="58">
        <v>14.99</v>
      </c>
      <c r="J573" s="58">
        <v>14.99</v>
      </c>
      <c r="K573" s="21" t="s">
        <v>1413</v>
      </c>
    </row>
    <row r="574" ht="21.75" customHeight="1">
      <c r="A574" s="20">
        <v>46035.0</v>
      </c>
      <c r="B574" s="21" t="s">
        <v>1430</v>
      </c>
      <c r="C574" s="21" t="s">
        <v>157</v>
      </c>
      <c r="D574" s="21" t="s">
        <v>226</v>
      </c>
      <c r="E574" s="21" t="s">
        <v>1431</v>
      </c>
      <c r="F574" s="21"/>
      <c r="G574" s="22">
        <v>1.0</v>
      </c>
      <c r="H574" s="22" t="s">
        <v>239</v>
      </c>
      <c r="I574" s="58">
        <v>38.99</v>
      </c>
      <c r="J574" s="58">
        <v>38.99</v>
      </c>
      <c r="K574" s="21" t="s">
        <v>1433</v>
      </c>
    </row>
    <row r="575" ht="21.75" customHeight="1">
      <c r="A575" s="20">
        <v>46035.0</v>
      </c>
      <c r="B575" s="21" t="s">
        <v>1434</v>
      </c>
      <c r="C575" s="21" t="s">
        <v>157</v>
      </c>
      <c r="D575" s="21" t="s">
        <v>226</v>
      </c>
      <c r="E575" s="21" t="s">
        <v>1435</v>
      </c>
      <c r="F575" s="21"/>
      <c r="G575" s="22">
        <v>1.0</v>
      </c>
      <c r="H575" s="22" t="s">
        <v>239</v>
      </c>
      <c r="I575" s="58">
        <v>32.8</v>
      </c>
      <c r="J575" s="58">
        <v>32.8</v>
      </c>
      <c r="K575" s="21" t="s">
        <v>1436</v>
      </c>
    </row>
    <row r="576" ht="21.75" customHeight="1">
      <c r="A576" s="20">
        <v>46037.0</v>
      </c>
      <c r="B576" s="21" t="s">
        <v>1437</v>
      </c>
      <c r="C576" s="21" t="s">
        <v>157</v>
      </c>
      <c r="D576" s="21" t="s">
        <v>271</v>
      </c>
      <c r="E576" s="21" t="s">
        <v>1064</v>
      </c>
      <c r="F576" s="21"/>
      <c r="G576" s="22">
        <v>1.0</v>
      </c>
      <c r="H576" s="22" t="s">
        <v>239</v>
      </c>
      <c r="I576" s="58">
        <v>37.78</v>
      </c>
      <c r="J576" s="58">
        <v>37.78</v>
      </c>
      <c r="K576" s="21" t="s">
        <v>1147</v>
      </c>
    </row>
    <row r="577" ht="21.75" customHeight="1">
      <c r="A577" s="20">
        <v>46038.0</v>
      </c>
      <c r="B577" s="21" t="s">
        <v>1438</v>
      </c>
      <c r="C577" s="21" t="s">
        <v>157</v>
      </c>
      <c r="D577" s="21" t="s">
        <v>271</v>
      </c>
      <c r="E577" s="21" t="s">
        <v>1439</v>
      </c>
      <c r="F577" s="21"/>
      <c r="G577" s="22">
        <v>1.0</v>
      </c>
      <c r="H577" s="22" t="s">
        <v>239</v>
      </c>
      <c r="I577" s="58">
        <v>11.33</v>
      </c>
      <c r="J577" s="58">
        <v>11.33</v>
      </c>
      <c r="K577" s="21" t="s">
        <v>1440</v>
      </c>
    </row>
    <row r="578" ht="21.75" customHeight="1">
      <c r="A578" s="20">
        <v>46038.0</v>
      </c>
      <c r="B578" s="21" t="s">
        <v>1438</v>
      </c>
      <c r="C578" s="21" t="s">
        <v>157</v>
      </c>
      <c r="D578" s="21" t="s">
        <v>271</v>
      </c>
      <c r="E578" s="21" t="s">
        <v>1439</v>
      </c>
      <c r="F578" s="21"/>
      <c r="G578" s="22">
        <v>1.0</v>
      </c>
      <c r="H578" s="22" t="s">
        <v>239</v>
      </c>
      <c r="I578" s="58">
        <v>11.33</v>
      </c>
      <c r="J578" s="58">
        <v>11.33</v>
      </c>
      <c r="K578" s="21" t="s">
        <v>1440</v>
      </c>
    </row>
    <row r="579" ht="21.75" customHeight="1">
      <c r="A579" s="20">
        <v>46038.0</v>
      </c>
      <c r="B579" s="21" t="s">
        <v>1438</v>
      </c>
      <c r="C579" s="21" t="s">
        <v>157</v>
      </c>
      <c r="D579" s="21" t="s">
        <v>271</v>
      </c>
      <c r="E579" s="21" t="s">
        <v>1439</v>
      </c>
      <c r="F579" s="21"/>
      <c r="G579" s="22">
        <v>1.0</v>
      </c>
      <c r="H579" s="22" t="s">
        <v>239</v>
      </c>
      <c r="I579" s="58">
        <v>11.33</v>
      </c>
      <c r="J579" s="58">
        <v>11.33</v>
      </c>
      <c r="K579" s="21" t="s">
        <v>1440</v>
      </c>
    </row>
    <row r="580" ht="21.75" customHeight="1">
      <c r="A580" s="20">
        <v>46041.0</v>
      </c>
      <c r="B580" s="21" t="s">
        <v>1441</v>
      </c>
      <c r="C580" s="21" t="s">
        <v>157</v>
      </c>
      <c r="D580" s="21" t="s">
        <v>349</v>
      </c>
      <c r="E580" s="21" t="s">
        <v>1442</v>
      </c>
      <c r="F580" s="21"/>
      <c r="G580" s="22">
        <v>1.0</v>
      </c>
      <c r="H580" s="22" t="s">
        <v>239</v>
      </c>
      <c r="I580" s="58">
        <v>15.67</v>
      </c>
      <c r="J580" s="58">
        <v>15.67</v>
      </c>
      <c r="K580" s="21" t="s">
        <v>1443</v>
      </c>
    </row>
    <row r="581" ht="21.75" customHeight="1">
      <c r="A581" s="20">
        <v>46041.0</v>
      </c>
      <c r="B581" s="21" t="s">
        <v>1441</v>
      </c>
      <c r="C581" s="21" t="s">
        <v>157</v>
      </c>
      <c r="D581" s="21" t="s">
        <v>349</v>
      </c>
      <c r="E581" s="21" t="s">
        <v>1442</v>
      </c>
      <c r="F581" s="21"/>
      <c r="G581" s="22">
        <v>1.0</v>
      </c>
      <c r="H581" s="22" t="s">
        <v>239</v>
      </c>
      <c r="I581" s="58">
        <v>15.67</v>
      </c>
      <c r="J581" s="58">
        <v>15.67</v>
      </c>
      <c r="K581" s="21" t="s">
        <v>1443</v>
      </c>
    </row>
    <row r="582" ht="21.75" customHeight="1">
      <c r="A582" s="20">
        <v>46041.0</v>
      </c>
      <c r="B582" s="21" t="s">
        <v>1444</v>
      </c>
      <c r="C582" s="21" t="s">
        <v>157</v>
      </c>
      <c r="D582" s="21" t="s">
        <v>349</v>
      </c>
      <c r="E582" s="21" t="s">
        <v>1442</v>
      </c>
      <c r="F582" s="21"/>
      <c r="G582" s="22">
        <v>5.0</v>
      </c>
      <c r="H582" s="22" t="s">
        <v>239</v>
      </c>
      <c r="I582" s="58">
        <v>15.2</v>
      </c>
      <c r="J582" s="58">
        <v>76.0</v>
      </c>
      <c r="K582" s="21" t="s">
        <v>1443</v>
      </c>
    </row>
    <row r="583" ht="21.75" customHeight="1">
      <c r="A583" s="20">
        <v>46041.0</v>
      </c>
      <c r="B583" s="21" t="s">
        <v>1444</v>
      </c>
      <c r="C583" s="21" t="s">
        <v>157</v>
      </c>
      <c r="D583" s="21" t="s">
        <v>349</v>
      </c>
      <c r="E583" s="21" t="s">
        <v>1445</v>
      </c>
      <c r="F583" s="21"/>
      <c r="G583" s="22">
        <v>1.0</v>
      </c>
      <c r="H583" s="22" t="s">
        <v>239</v>
      </c>
      <c r="I583" s="58">
        <v>97.02</v>
      </c>
      <c r="J583" s="58">
        <v>97.02</v>
      </c>
      <c r="K583" s="21" t="s">
        <v>1446</v>
      </c>
    </row>
    <row r="584" ht="21.75" customHeight="1">
      <c r="A584" s="20">
        <v>46041.0</v>
      </c>
      <c r="B584" s="21" t="s">
        <v>1444</v>
      </c>
      <c r="C584" s="21" t="s">
        <v>157</v>
      </c>
      <c r="D584" s="21" t="s">
        <v>349</v>
      </c>
      <c r="E584" s="21" t="s">
        <v>1442</v>
      </c>
      <c r="F584" s="21"/>
      <c r="G584" s="22">
        <v>2.0</v>
      </c>
      <c r="H584" s="22" t="s">
        <v>239</v>
      </c>
      <c r="I584" s="58">
        <v>15.2</v>
      </c>
      <c r="J584" s="58">
        <v>30.4</v>
      </c>
      <c r="K584" s="21" t="s">
        <v>1443</v>
      </c>
    </row>
    <row r="585" ht="21.75" customHeight="1">
      <c r="A585" s="20">
        <v>46043.0</v>
      </c>
      <c r="B585" s="21" t="s">
        <v>1448</v>
      </c>
      <c r="C585" s="21" t="s">
        <v>176</v>
      </c>
      <c r="D585" s="21" t="s">
        <v>175</v>
      </c>
      <c r="E585" s="21" t="s">
        <v>207</v>
      </c>
      <c r="F585" s="21" t="s">
        <v>515</v>
      </c>
      <c r="G585" s="22">
        <v>2.0</v>
      </c>
      <c r="H585" s="22" t="s">
        <v>177</v>
      </c>
      <c r="I585" s="58">
        <v>6.86</v>
      </c>
      <c r="J585" s="58">
        <f t="shared" ref="J585:J588" si="16">G585*I585</f>
        <v>13.72</v>
      </c>
      <c r="K585" s="21" t="s">
        <v>1451</v>
      </c>
    </row>
    <row r="586" ht="21.75" customHeight="1">
      <c r="A586" s="20">
        <v>46043.0</v>
      </c>
      <c r="B586" s="21" t="s">
        <v>1448</v>
      </c>
      <c r="C586" s="21" t="s">
        <v>176</v>
      </c>
      <c r="D586" s="21" t="s">
        <v>175</v>
      </c>
      <c r="E586" s="21" t="s">
        <v>351</v>
      </c>
      <c r="F586" s="21" t="s">
        <v>521</v>
      </c>
      <c r="G586" s="22">
        <v>2.0</v>
      </c>
      <c r="H586" s="22" t="s">
        <v>177</v>
      </c>
      <c r="I586" s="58">
        <v>135.0</v>
      </c>
      <c r="J586" s="58">
        <f t="shared" si="16"/>
        <v>270</v>
      </c>
      <c r="K586" s="21" t="s">
        <v>1452</v>
      </c>
    </row>
    <row r="587" ht="21.75" customHeight="1">
      <c r="A587" s="20">
        <v>46043.0</v>
      </c>
      <c r="B587" s="21" t="s">
        <v>1448</v>
      </c>
      <c r="C587" s="21" t="s">
        <v>176</v>
      </c>
      <c r="D587" s="21" t="s">
        <v>175</v>
      </c>
      <c r="E587" s="21" t="s">
        <v>225</v>
      </c>
      <c r="F587" s="21" t="s">
        <v>563</v>
      </c>
      <c r="G587" s="22">
        <v>1.0</v>
      </c>
      <c r="H587" s="22" t="s">
        <v>177</v>
      </c>
      <c r="I587" s="58">
        <v>70.0</v>
      </c>
      <c r="J587" s="58">
        <f t="shared" si="16"/>
        <v>70</v>
      </c>
      <c r="K587" s="21" t="s">
        <v>1454</v>
      </c>
    </row>
    <row r="588" ht="21.75" customHeight="1">
      <c r="A588" s="20">
        <v>46043.0</v>
      </c>
      <c r="B588" s="21" t="s">
        <v>1448</v>
      </c>
      <c r="C588" s="21" t="s">
        <v>176</v>
      </c>
      <c r="D588" s="21" t="s">
        <v>175</v>
      </c>
      <c r="E588" s="21" t="s">
        <v>962</v>
      </c>
      <c r="F588" s="21" t="s">
        <v>1097</v>
      </c>
      <c r="G588" s="22">
        <v>1.0</v>
      </c>
      <c r="H588" s="22" t="s">
        <v>177</v>
      </c>
      <c r="I588" s="58">
        <v>40.0</v>
      </c>
      <c r="J588" s="58">
        <f t="shared" si="16"/>
        <v>40</v>
      </c>
      <c r="K588" s="21" t="s">
        <v>1216</v>
      </c>
    </row>
    <row r="589" ht="21.75" customHeight="1">
      <c r="A589" s="20">
        <v>46045.0</v>
      </c>
      <c r="B589" s="21" t="s">
        <v>1455</v>
      </c>
      <c r="C589" s="21" t="s">
        <v>157</v>
      </c>
      <c r="D589" s="21" t="s">
        <v>42</v>
      </c>
      <c r="E589" s="21" t="s">
        <v>1456</v>
      </c>
      <c r="F589" s="21"/>
      <c r="G589" s="22">
        <v>3.0</v>
      </c>
      <c r="H589" s="22" t="s">
        <v>239</v>
      </c>
      <c r="I589" s="58">
        <v>17.99</v>
      </c>
      <c r="J589" s="58">
        <v>53.97</v>
      </c>
      <c r="K589" s="21" t="s">
        <v>1457</v>
      </c>
    </row>
    <row r="590" ht="21.75" customHeight="1">
      <c r="A590" s="20">
        <v>46048.0</v>
      </c>
      <c r="B590" s="21" t="s">
        <v>1458</v>
      </c>
      <c r="C590" s="21" t="s">
        <v>157</v>
      </c>
      <c r="D590" s="21" t="s">
        <v>989</v>
      </c>
      <c r="E590" s="21" t="s">
        <v>1459</v>
      </c>
      <c r="F590" s="21"/>
      <c r="G590" s="22">
        <v>1.0</v>
      </c>
      <c r="H590" s="22" t="s">
        <v>239</v>
      </c>
      <c r="I590" s="58">
        <v>9.99</v>
      </c>
      <c r="J590" s="58">
        <v>9.99</v>
      </c>
      <c r="K590" s="21" t="s">
        <v>1460</v>
      </c>
    </row>
    <row r="591" ht="21.75" customHeight="1">
      <c r="A591" s="20">
        <v>46048.0</v>
      </c>
      <c r="B591" s="21" t="s">
        <v>1461</v>
      </c>
      <c r="C591" s="21" t="s">
        <v>157</v>
      </c>
      <c r="D591" s="21" t="s">
        <v>989</v>
      </c>
      <c r="E591" s="21" t="s">
        <v>1462</v>
      </c>
      <c r="F591" s="21"/>
      <c r="G591" s="22">
        <v>1.0</v>
      </c>
      <c r="H591" s="22" t="s">
        <v>239</v>
      </c>
      <c r="I591" s="58">
        <v>62.69</v>
      </c>
      <c r="J591" s="58">
        <v>62.69</v>
      </c>
      <c r="K591" s="21" t="s">
        <v>1463</v>
      </c>
    </row>
    <row r="592" ht="21.75" customHeight="1">
      <c r="A592" s="20">
        <v>46048.0</v>
      </c>
      <c r="B592" s="21" t="s">
        <v>1461</v>
      </c>
      <c r="C592" s="21" t="s">
        <v>157</v>
      </c>
      <c r="D592" s="21" t="s">
        <v>271</v>
      </c>
      <c r="E592" s="21" t="s">
        <v>1464</v>
      </c>
      <c r="F592" s="21"/>
      <c r="G592" s="22">
        <v>1.0</v>
      </c>
      <c r="H592" s="22" t="s">
        <v>239</v>
      </c>
      <c r="I592" s="58">
        <v>28.99</v>
      </c>
      <c r="J592" s="58">
        <v>28.99</v>
      </c>
      <c r="K592" s="21" t="s">
        <v>1465</v>
      </c>
    </row>
    <row r="593" ht="21.75" customHeight="1">
      <c r="A593" s="20">
        <v>46049.0</v>
      </c>
      <c r="B593" s="21" t="s">
        <v>1466</v>
      </c>
      <c r="C593" s="21" t="s">
        <v>157</v>
      </c>
      <c r="D593" s="21" t="s">
        <v>271</v>
      </c>
      <c r="E593" s="21" t="s">
        <v>1467</v>
      </c>
      <c r="F593" s="21"/>
      <c r="G593" s="22">
        <v>1.0</v>
      </c>
      <c r="H593" s="22" t="s">
        <v>239</v>
      </c>
      <c r="I593" s="58">
        <v>9.49</v>
      </c>
      <c r="J593" s="58">
        <v>9.49</v>
      </c>
      <c r="K593" s="21" t="s">
        <v>1468</v>
      </c>
    </row>
    <row r="594" ht="21.75" customHeight="1">
      <c r="A594" s="20">
        <v>46049.0</v>
      </c>
      <c r="B594" s="21" t="s">
        <v>1466</v>
      </c>
      <c r="C594" s="21" t="s">
        <v>157</v>
      </c>
      <c r="D594" s="21" t="s">
        <v>349</v>
      </c>
      <c r="E594" s="21" t="s">
        <v>1470</v>
      </c>
      <c r="F594" s="21"/>
      <c r="G594" s="22">
        <v>3.0</v>
      </c>
      <c r="H594" s="22" t="s">
        <v>239</v>
      </c>
      <c r="I594" s="58">
        <v>4.6</v>
      </c>
      <c r="J594" s="58">
        <v>13.11</v>
      </c>
      <c r="K594" s="21" t="s">
        <v>1471</v>
      </c>
    </row>
    <row r="595" ht="21.75" customHeight="1">
      <c r="A595" s="20">
        <v>46049.0</v>
      </c>
      <c r="B595" s="21" t="s">
        <v>1466</v>
      </c>
      <c r="C595" s="21" t="s">
        <v>157</v>
      </c>
      <c r="D595" s="21" t="s">
        <v>42</v>
      </c>
      <c r="E595" s="21" t="s">
        <v>1472</v>
      </c>
      <c r="F595" s="21"/>
      <c r="G595" s="22">
        <v>6.0</v>
      </c>
      <c r="H595" s="22" t="s">
        <v>239</v>
      </c>
      <c r="I595" s="58">
        <v>7.06</v>
      </c>
      <c r="J595" s="58">
        <v>42.36</v>
      </c>
      <c r="K595" s="21" t="s">
        <v>1473</v>
      </c>
    </row>
    <row r="596" ht="21.75" customHeight="1">
      <c r="A596" s="20">
        <v>46049.0</v>
      </c>
      <c r="B596" s="21" t="s">
        <v>1475</v>
      </c>
      <c r="C596" s="21" t="s">
        <v>157</v>
      </c>
      <c r="D596" s="21" t="s">
        <v>42</v>
      </c>
      <c r="E596" s="21" t="s">
        <v>702</v>
      </c>
      <c r="F596" s="21"/>
      <c r="G596" s="22">
        <v>4.0</v>
      </c>
      <c r="H596" s="22" t="s">
        <v>239</v>
      </c>
      <c r="I596" s="58">
        <v>11.85</v>
      </c>
      <c r="J596" s="58">
        <v>47.4</v>
      </c>
      <c r="K596" s="21" t="s">
        <v>1476</v>
      </c>
    </row>
    <row r="597" ht="21.75" customHeight="1">
      <c r="A597" s="20">
        <v>46049.0</v>
      </c>
      <c r="B597" s="21" t="s">
        <v>1475</v>
      </c>
      <c r="C597" s="21" t="s">
        <v>157</v>
      </c>
      <c r="D597" s="21" t="s">
        <v>42</v>
      </c>
      <c r="E597" s="21" t="s">
        <v>702</v>
      </c>
      <c r="F597" s="21"/>
      <c r="G597" s="22">
        <v>4.0</v>
      </c>
      <c r="H597" s="22" t="s">
        <v>239</v>
      </c>
      <c r="I597" s="58">
        <v>11.85</v>
      </c>
      <c r="J597" s="58">
        <v>47.4</v>
      </c>
      <c r="K597" s="21" t="s">
        <v>1476</v>
      </c>
    </row>
    <row r="598" ht="21.75" customHeight="1">
      <c r="A598" s="20">
        <v>46049.0</v>
      </c>
      <c r="B598" s="21" t="s">
        <v>1475</v>
      </c>
      <c r="C598" s="21" t="s">
        <v>157</v>
      </c>
      <c r="D598" s="21" t="s">
        <v>42</v>
      </c>
      <c r="E598" s="21" t="s">
        <v>702</v>
      </c>
      <c r="F598" s="21"/>
      <c r="G598" s="22">
        <v>2.0</v>
      </c>
      <c r="H598" s="22" t="s">
        <v>239</v>
      </c>
      <c r="I598" s="58">
        <v>11.85</v>
      </c>
      <c r="J598" s="58">
        <v>23.7</v>
      </c>
      <c r="K598" s="21" t="s">
        <v>1476</v>
      </c>
    </row>
    <row r="599" ht="21.75" customHeight="1">
      <c r="A599" s="20">
        <v>46049.0</v>
      </c>
      <c r="B599" s="21" t="s">
        <v>1475</v>
      </c>
      <c r="C599" s="21" t="s">
        <v>157</v>
      </c>
      <c r="D599" s="21" t="s">
        <v>271</v>
      </c>
      <c r="E599" s="21" t="s">
        <v>1477</v>
      </c>
      <c r="F599" s="21"/>
      <c r="G599" s="22">
        <v>3.0</v>
      </c>
      <c r="H599" s="22" t="s">
        <v>239</v>
      </c>
      <c r="I599" s="58">
        <v>11.63</v>
      </c>
      <c r="J599" s="58">
        <v>34.89</v>
      </c>
      <c r="K599" s="21" t="s">
        <v>1478</v>
      </c>
    </row>
    <row r="600" ht="21.75" customHeight="1">
      <c r="A600" s="20">
        <v>46049.0</v>
      </c>
      <c r="B600" s="21" t="s">
        <v>1479</v>
      </c>
      <c r="C600" s="21" t="s">
        <v>157</v>
      </c>
      <c r="D600" s="21" t="s">
        <v>42</v>
      </c>
      <c r="E600" s="21" t="s">
        <v>330</v>
      </c>
      <c r="F600" s="21"/>
      <c r="G600" s="22">
        <v>10.0</v>
      </c>
      <c r="H600" s="22" t="s">
        <v>239</v>
      </c>
      <c r="I600" s="58">
        <v>8.6</v>
      </c>
      <c r="J600" s="58">
        <v>86.0</v>
      </c>
      <c r="K600" s="21" t="s">
        <v>1265</v>
      </c>
    </row>
    <row r="601" ht="21.75" customHeight="1">
      <c r="A601" s="20">
        <v>46049.0</v>
      </c>
      <c r="B601" s="21" t="s">
        <v>1480</v>
      </c>
      <c r="C601" s="21" t="s">
        <v>157</v>
      </c>
      <c r="D601" s="21" t="s">
        <v>42</v>
      </c>
      <c r="E601" s="21" t="s">
        <v>1481</v>
      </c>
      <c r="F601" s="21"/>
      <c r="G601" s="22">
        <v>2.0</v>
      </c>
      <c r="H601" s="22" t="s">
        <v>239</v>
      </c>
      <c r="I601" s="58">
        <v>14.24</v>
      </c>
      <c r="J601" s="58">
        <v>28.48</v>
      </c>
      <c r="K601" s="21" t="s">
        <v>1482</v>
      </c>
    </row>
    <row r="602" ht="21.75" customHeight="1">
      <c r="A602" s="20">
        <v>46049.0</v>
      </c>
      <c r="B602" s="21" t="s">
        <v>1483</v>
      </c>
      <c r="C602" s="21" t="s">
        <v>157</v>
      </c>
      <c r="D602" s="21" t="s">
        <v>42</v>
      </c>
      <c r="E602" s="21" t="s">
        <v>1484</v>
      </c>
      <c r="F602" s="21"/>
      <c r="G602" s="22">
        <v>2.0</v>
      </c>
      <c r="H602" s="22" t="s">
        <v>239</v>
      </c>
      <c r="I602" s="58">
        <v>13.15</v>
      </c>
      <c r="J602" s="58">
        <v>26.3</v>
      </c>
      <c r="K602" s="21" t="s">
        <v>1485</v>
      </c>
    </row>
    <row r="603" ht="21.75" customHeight="1">
      <c r="A603" s="20">
        <v>46049.0</v>
      </c>
      <c r="B603" s="21" t="s">
        <v>1483</v>
      </c>
      <c r="C603" s="21" t="s">
        <v>157</v>
      </c>
      <c r="D603" s="21" t="s">
        <v>42</v>
      </c>
      <c r="E603" s="21" t="s">
        <v>1486</v>
      </c>
      <c r="F603" s="21"/>
      <c r="G603" s="22">
        <v>2.0</v>
      </c>
      <c r="H603" s="22" t="s">
        <v>239</v>
      </c>
      <c r="I603" s="58">
        <v>22.86</v>
      </c>
      <c r="J603" s="58">
        <v>45.72</v>
      </c>
      <c r="K603" s="21" t="s">
        <v>1485</v>
      </c>
    </row>
    <row r="604" ht="21.75" customHeight="1">
      <c r="A604" s="20">
        <v>46050.0</v>
      </c>
      <c r="B604" s="21" t="s">
        <v>1487</v>
      </c>
      <c r="C604" s="21" t="s">
        <v>176</v>
      </c>
      <c r="D604" s="21" t="s">
        <v>175</v>
      </c>
      <c r="E604" s="21" t="s">
        <v>184</v>
      </c>
      <c r="F604" s="21" t="s">
        <v>1488</v>
      </c>
      <c r="G604" s="22">
        <v>2.0</v>
      </c>
      <c r="H604" s="22" t="s">
        <v>177</v>
      </c>
      <c r="I604" s="58">
        <v>8.99</v>
      </c>
      <c r="J604" s="58">
        <f t="shared" ref="J604:J605" si="17">G604*I604</f>
        <v>17.98</v>
      </c>
      <c r="K604" s="21" t="s">
        <v>1490</v>
      </c>
    </row>
    <row r="605" ht="21.75" customHeight="1">
      <c r="A605" s="20">
        <v>46050.0</v>
      </c>
      <c r="B605" s="21" t="s">
        <v>1487</v>
      </c>
      <c r="C605" s="21" t="s">
        <v>176</v>
      </c>
      <c r="D605" s="21" t="s">
        <v>175</v>
      </c>
      <c r="E605" s="21" t="s">
        <v>321</v>
      </c>
      <c r="F605" s="21" t="s">
        <v>652</v>
      </c>
      <c r="G605" s="22">
        <v>1.0</v>
      </c>
      <c r="H605" s="22" t="s">
        <v>177</v>
      </c>
      <c r="I605" s="58">
        <v>24.0</v>
      </c>
      <c r="J605" s="58">
        <f t="shared" si="17"/>
        <v>24</v>
      </c>
      <c r="K605" s="21" t="s">
        <v>1454</v>
      </c>
    </row>
    <row r="606" ht="21.75" customHeight="1">
      <c r="A606" s="20">
        <v>46051.0</v>
      </c>
      <c r="B606" s="21" t="s">
        <v>1491</v>
      </c>
      <c r="C606" s="21" t="s">
        <v>157</v>
      </c>
      <c r="D606" s="21" t="s">
        <v>452</v>
      </c>
      <c r="E606" s="21" t="s">
        <v>1054</v>
      </c>
      <c r="F606" s="21"/>
      <c r="G606" s="22">
        <v>4.0</v>
      </c>
      <c r="H606" s="22" t="s">
        <v>239</v>
      </c>
      <c r="I606" s="58">
        <v>14.2</v>
      </c>
      <c r="J606" s="58">
        <v>56.8</v>
      </c>
      <c r="K606" s="21" t="s">
        <v>1207</v>
      </c>
    </row>
    <row r="607" ht="21.75" customHeight="1">
      <c r="A607" s="20">
        <v>46051.0</v>
      </c>
      <c r="B607" s="21" t="s">
        <v>1491</v>
      </c>
      <c r="C607" s="21" t="s">
        <v>157</v>
      </c>
      <c r="D607" s="21" t="s">
        <v>989</v>
      </c>
      <c r="E607" s="21" t="s">
        <v>1493</v>
      </c>
      <c r="F607" s="21"/>
      <c r="G607" s="22">
        <v>1.0</v>
      </c>
      <c r="H607" s="22" t="s">
        <v>239</v>
      </c>
      <c r="I607" s="58">
        <v>30.65</v>
      </c>
      <c r="J607" s="58">
        <v>30.65</v>
      </c>
      <c r="K607" s="21" t="s">
        <v>1494</v>
      </c>
    </row>
    <row r="608" ht="21.75" customHeight="1">
      <c r="A608" s="20">
        <v>46051.0</v>
      </c>
      <c r="B608" s="21" t="s">
        <v>1491</v>
      </c>
      <c r="C608" s="21" t="s">
        <v>157</v>
      </c>
      <c r="D608" s="21" t="s">
        <v>226</v>
      </c>
      <c r="E608" s="21" t="s">
        <v>704</v>
      </c>
      <c r="F608" s="21"/>
      <c r="G608" s="22">
        <v>1.0</v>
      </c>
      <c r="H608" s="22" t="s">
        <v>239</v>
      </c>
      <c r="I608" s="58">
        <v>55.0</v>
      </c>
      <c r="J608" s="58">
        <v>55.0</v>
      </c>
      <c r="K608" s="21" t="s">
        <v>1495</v>
      </c>
    </row>
    <row r="609" ht="21.75" customHeight="1">
      <c r="A609" s="20">
        <v>46051.0</v>
      </c>
      <c r="B609" s="21" t="s">
        <v>1491</v>
      </c>
      <c r="C609" s="21" t="s">
        <v>157</v>
      </c>
      <c r="D609" s="21" t="s">
        <v>226</v>
      </c>
      <c r="E609" s="21" t="s">
        <v>704</v>
      </c>
      <c r="F609" s="21"/>
      <c r="G609" s="22">
        <v>1.0</v>
      </c>
      <c r="H609" s="22" t="s">
        <v>239</v>
      </c>
      <c r="I609" s="58">
        <v>55.0</v>
      </c>
      <c r="J609" s="58">
        <v>55.0</v>
      </c>
      <c r="K609" s="21" t="s">
        <v>1495</v>
      </c>
    </row>
    <row r="610" ht="21.75" customHeight="1">
      <c r="A610" s="20">
        <v>46051.0</v>
      </c>
      <c r="B610" s="21" t="s">
        <v>1491</v>
      </c>
      <c r="C610" s="21" t="s">
        <v>157</v>
      </c>
      <c r="D610" s="21" t="s">
        <v>271</v>
      </c>
      <c r="E610" s="21" t="s">
        <v>1496</v>
      </c>
      <c r="F610" s="21"/>
      <c r="G610" s="22">
        <v>1.0</v>
      </c>
      <c r="H610" s="22" t="s">
        <v>239</v>
      </c>
      <c r="I610" s="58">
        <v>8.99</v>
      </c>
      <c r="J610" s="58">
        <v>8.99</v>
      </c>
      <c r="K610" s="21" t="s">
        <v>1497</v>
      </c>
    </row>
    <row r="611" ht="21.75" customHeight="1">
      <c r="A611" s="20">
        <v>46056.0</v>
      </c>
      <c r="B611" s="21" t="s">
        <v>1498</v>
      </c>
      <c r="C611" s="21" t="s">
        <v>157</v>
      </c>
      <c r="D611" s="21" t="s">
        <v>271</v>
      </c>
      <c r="E611" s="21" t="s">
        <v>1499</v>
      </c>
      <c r="F611" s="21"/>
      <c r="G611" s="22">
        <v>1.0</v>
      </c>
      <c r="H611" s="22" t="s">
        <v>239</v>
      </c>
      <c r="I611" s="58">
        <v>32.4</v>
      </c>
      <c r="J611" s="58">
        <v>32.4</v>
      </c>
      <c r="K611" s="21" t="s">
        <v>1500</v>
      </c>
    </row>
    <row r="612" ht="21.75" customHeight="1">
      <c r="A612" s="20">
        <v>46057.0</v>
      </c>
      <c r="B612" s="21" t="s">
        <v>1501</v>
      </c>
      <c r="C612" s="21" t="s">
        <v>157</v>
      </c>
      <c r="D612" s="21" t="s">
        <v>271</v>
      </c>
      <c r="E612" s="21" t="s">
        <v>1037</v>
      </c>
      <c r="F612" s="21"/>
      <c r="G612" s="22">
        <v>1.0</v>
      </c>
      <c r="H612" s="22" t="s">
        <v>239</v>
      </c>
      <c r="I612" s="58">
        <v>13.32</v>
      </c>
      <c r="J612" s="58">
        <v>13.32</v>
      </c>
      <c r="K612" s="21" t="s">
        <v>1135</v>
      </c>
    </row>
    <row r="613" ht="21.75" customHeight="1">
      <c r="A613" s="20">
        <v>46057.0</v>
      </c>
      <c r="B613" s="21" t="s">
        <v>1501</v>
      </c>
      <c r="C613" s="21" t="s">
        <v>157</v>
      </c>
      <c r="D613" s="21" t="s">
        <v>271</v>
      </c>
      <c r="E613" s="21" t="s">
        <v>1372</v>
      </c>
      <c r="F613" s="21"/>
      <c r="G613" s="22">
        <v>1.0</v>
      </c>
      <c r="H613" s="22" t="s">
        <v>239</v>
      </c>
      <c r="I613" s="58">
        <v>22.99</v>
      </c>
      <c r="J613" s="58">
        <v>21.84</v>
      </c>
      <c r="K613" s="21" t="s">
        <v>1373</v>
      </c>
    </row>
    <row r="614" ht="21.75" customHeight="1">
      <c r="A614" s="20">
        <v>46057.0</v>
      </c>
      <c r="B614" s="21" t="s">
        <v>1501</v>
      </c>
      <c r="C614" s="21" t="s">
        <v>157</v>
      </c>
      <c r="D614" s="21" t="s">
        <v>271</v>
      </c>
      <c r="E614" s="21" t="s">
        <v>1502</v>
      </c>
      <c r="F614" s="21"/>
      <c r="G614" s="22">
        <v>1.0</v>
      </c>
      <c r="H614" s="22" t="s">
        <v>239</v>
      </c>
      <c r="I614" s="58">
        <v>8.06</v>
      </c>
      <c r="J614" s="58">
        <v>8.06</v>
      </c>
      <c r="K614" s="21" t="s">
        <v>1503</v>
      </c>
    </row>
    <row r="615" ht="21.75" customHeight="1">
      <c r="A615" s="20">
        <v>46057.0</v>
      </c>
      <c r="B615" s="21" t="s">
        <v>1504</v>
      </c>
      <c r="C615" s="21" t="s">
        <v>157</v>
      </c>
      <c r="D615" s="21" t="s">
        <v>349</v>
      </c>
      <c r="E615" s="21" t="s">
        <v>1505</v>
      </c>
      <c r="F615" s="21"/>
      <c r="G615" s="22">
        <v>1.0</v>
      </c>
      <c r="H615" s="22" t="s">
        <v>239</v>
      </c>
      <c r="I615" s="58">
        <v>9.99</v>
      </c>
      <c r="J615" s="58">
        <v>10.86</v>
      </c>
      <c r="K615" s="21" t="s">
        <v>1506</v>
      </c>
    </row>
    <row r="616" ht="21.75" customHeight="1">
      <c r="A616" s="20">
        <v>46057.0</v>
      </c>
      <c r="B616" s="21" t="s">
        <v>1507</v>
      </c>
      <c r="C616" s="21" t="s">
        <v>157</v>
      </c>
      <c r="D616" s="21" t="s">
        <v>226</v>
      </c>
      <c r="E616" s="21" t="s">
        <v>1138</v>
      </c>
      <c r="F616" s="21"/>
      <c r="G616" s="22">
        <v>2.0</v>
      </c>
      <c r="H616" s="22" t="s">
        <v>239</v>
      </c>
      <c r="I616" s="58">
        <v>13.7</v>
      </c>
      <c r="J616" s="58">
        <v>27.4</v>
      </c>
      <c r="K616" s="21" t="s">
        <v>1139</v>
      </c>
    </row>
    <row r="617" ht="21.75" customHeight="1">
      <c r="A617" s="20">
        <v>46058.0</v>
      </c>
      <c r="B617" s="21" t="s">
        <v>1509</v>
      </c>
      <c r="C617" s="21" t="s">
        <v>157</v>
      </c>
      <c r="D617" s="21" t="s">
        <v>226</v>
      </c>
      <c r="E617" s="21" t="s">
        <v>1510</v>
      </c>
      <c r="F617" s="21"/>
      <c r="G617" s="22">
        <v>1.0</v>
      </c>
      <c r="H617" s="22" t="s">
        <v>239</v>
      </c>
      <c r="I617" s="58">
        <v>17.99</v>
      </c>
      <c r="J617" s="58">
        <v>17.99</v>
      </c>
      <c r="K617" s="21" t="s">
        <v>1511</v>
      </c>
    </row>
    <row r="618" ht="21.75" customHeight="1">
      <c r="A618" s="20">
        <v>46058.0</v>
      </c>
      <c r="B618" s="21" t="s">
        <v>1512</v>
      </c>
      <c r="C618" s="21" t="s">
        <v>157</v>
      </c>
      <c r="D618" s="21" t="s">
        <v>271</v>
      </c>
      <c r="E618" s="21" t="s">
        <v>1513</v>
      </c>
      <c r="F618" s="21"/>
      <c r="G618" s="22">
        <v>1.0</v>
      </c>
      <c r="H618" s="22" t="s">
        <v>239</v>
      </c>
      <c r="I618" s="58">
        <v>17.74</v>
      </c>
      <c r="J618" s="58">
        <v>17.74</v>
      </c>
      <c r="K618" s="21" t="s">
        <v>1515</v>
      </c>
    </row>
    <row r="619" ht="21.75" customHeight="1">
      <c r="A619" s="20">
        <v>46063.0</v>
      </c>
      <c r="B619" s="21" t="s">
        <v>1516</v>
      </c>
      <c r="C619" s="21" t="s">
        <v>157</v>
      </c>
      <c r="D619" s="21" t="s">
        <v>42</v>
      </c>
      <c r="E619" s="21" t="s">
        <v>1517</v>
      </c>
      <c r="F619" s="21"/>
      <c r="G619" s="22">
        <v>2.0</v>
      </c>
      <c r="H619" s="22" t="s">
        <v>239</v>
      </c>
      <c r="I619" s="58">
        <v>33.94</v>
      </c>
      <c r="J619" s="58">
        <v>67.88</v>
      </c>
      <c r="K619" s="21" t="s">
        <v>1518</v>
      </c>
    </row>
    <row r="620" ht="21.75" customHeight="1">
      <c r="A620" s="20">
        <v>46069.0</v>
      </c>
      <c r="B620" s="21" t="s">
        <v>1519</v>
      </c>
      <c r="C620" s="21" t="s">
        <v>157</v>
      </c>
      <c r="D620" s="21" t="s">
        <v>349</v>
      </c>
      <c r="E620" s="21" t="s">
        <v>1442</v>
      </c>
      <c r="F620" s="21"/>
      <c r="G620" s="22">
        <v>2.0</v>
      </c>
      <c r="H620" s="22" t="s">
        <v>239</v>
      </c>
      <c r="I620" s="58">
        <v>15.67</v>
      </c>
      <c r="J620" s="58">
        <v>31.34</v>
      </c>
      <c r="K620" s="21" t="s">
        <v>1443</v>
      </c>
    </row>
    <row r="621" ht="21.75" customHeight="1">
      <c r="A621" s="20">
        <v>46070.0</v>
      </c>
      <c r="B621" s="21" t="s">
        <v>1520</v>
      </c>
      <c r="C621" s="21" t="s">
        <v>157</v>
      </c>
      <c r="D621" s="21" t="s">
        <v>271</v>
      </c>
      <c r="E621" s="21" t="s">
        <v>1037</v>
      </c>
      <c r="F621" s="21"/>
      <c r="G621" s="22">
        <v>1.0</v>
      </c>
      <c r="H621" s="22" t="s">
        <v>239</v>
      </c>
      <c r="I621" s="58">
        <v>13.32</v>
      </c>
      <c r="J621" s="58">
        <v>13.32</v>
      </c>
      <c r="K621" s="21" t="s">
        <v>1135</v>
      </c>
    </row>
    <row r="622" ht="21.75" customHeight="1">
      <c r="A622" s="20">
        <v>46070.0</v>
      </c>
      <c r="B622" s="21" t="s">
        <v>1520</v>
      </c>
      <c r="C622" s="21" t="s">
        <v>157</v>
      </c>
      <c r="D622" s="21" t="s">
        <v>271</v>
      </c>
      <c r="E622" s="21" t="s">
        <v>1172</v>
      </c>
      <c r="F622" s="21"/>
      <c r="G622" s="22">
        <v>2.0</v>
      </c>
      <c r="H622" s="22" t="s">
        <v>239</v>
      </c>
      <c r="I622" s="58">
        <v>4.59</v>
      </c>
      <c r="J622" s="58">
        <v>9.18</v>
      </c>
      <c r="K622" s="21" t="s">
        <v>1173</v>
      </c>
    </row>
    <row r="623" ht="21.75" customHeight="1">
      <c r="A623" s="20">
        <v>46070.0</v>
      </c>
      <c r="B623" s="21" t="s">
        <v>1520</v>
      </c>
      <c r="C623" s="21" t="s">
        <v>157</v>
      </c>
      <c r="D623" s="21" t="s">
        <v>226</v>
      </c>
      <c r="E623" s="21" t="s">
        <v>1521</v>
      </c>
      <c r="F623" s="21"/>
      <c r="G623" s="22">
        <v>1.0</v>
      </c>
      <c r="H623" s="22" t="s">
        <v>239</v>
      </c>
      <c r="I623" s="58">
        <v>22.86</v>
      </c>
      <c r="J623" s="58">
        <v>22.86</v>
      </c>
      <c r="K623" s="21" t="s">
        <v>1522</v>
      </c>
    </row>
    <row r="624" ht="21.75" customHeight="1">
      <c r="A624" s="20">
        <v>46071.0</v>
      </c>
      <c r="B624" s="21" t="s">
        <v>1523</v>
      </c>
      <c r="C624" s="21" t="s">
        <v>157</v>
      </c>
      <c r="D624" s="21" t="s">
        <v>349</v>
      </c>
      <c r="E624" s="21" t="s">
        <v>1524</v>
      </c>
      <c r="F624" s="21"/>
      <c r="G624" s="22">
        <v>5.0</v>
      </c>
      <c r="H624" s="22" t="s">
        <v>239</v>
      </c>
      <c r="I624" s="58">
        <v>8.59</v>
      </c>
      <c r="J624" s="58">
        <v>40.8</v>
      </c>
      <c r="K624" s="21" t="s">
        <v>1525</v>
      </c>
    </row>
    <row r="625" ht="21.75" customHeight="1">
      <c r="A625" s="20">
        <v>46072.0</v>
      </c>
      <c r="B625" s="21" t="s">
        <v>1526</v>
      </c>
      <c r="C625" s="21" t="s">
        <v>157</v>
      </c>
      <c r="D625" s="21" t="s">
        <v>271</v>
      </c>
      <c r="E625" s="21" t="s">
        <v>1527</v>
      </c>
      <c r="F625" s="21"/>
      <c r="G625" s="22">
        <v>1.0</v>
      </c>
      <c r="H625" s="22" t="s">
        <v>239</v>
      </c>
      <c r="I625" s="58">
        <v>5.58</v>
      </c>
      <c r="J625" s="58">
        <v>5.58</v>
      </c>
      <c r="K625" s="21" t="s">
        <v>1377</v>
      </c>
    </row>
    <row r="626" ht="21.75" customHeight="1">
      <c r="A626" s="20">
        <v>46072.0</v>
      </c>
      <c r="B626" s="21" t="s">
        <v>1526</v>
      </c>
      <c r="C626" s="21" t="s">
        <v>157</v>
      </c>
      <c r="D626" s="21" t="s">
        <v>271</v>
      </c>
      <c r="E626" s="21" t="s">
        <v>1527</v>
      </c>
      <c r="F626" s="21"/>
      <c r="G626" s="22">
        <v>1.0</v>
      </c>
      <c r="H626" s="22" t="s">
        <v>239</v>
      </c>
      <c r="I626" s="58">
        <v>5.58</v>
      </c>
      <c r="J626" s="58">
        <v>5.58</v>
      </c>
      <c r="K626" s="21" t="s">
        <v>1377</v>
      </c>
    </row>
    <row r="627" ht="21.75" customHeight="1">
      <c r="A627" s="20">
        <v>46072.0</v>
      </c>
      <c r="B627" s="21" t="s">
        <v>1526</v>
      </c>
      <c r="C627" s="21" t="s">
        <v>157</v>
      </c>
      <c r="D627" s="21" t="s">
        <v>271</v>
      </c>
      <c r="E627" s="21" t="s">
        <v>1527</v>
      </c>
      <c r="F627" s="21"/>
      <c r="G627" s="22">
        <v>1.0</v>
      </c>
      <c r="H627" s="22" t="s">
        <v>239</v>
      </c>
      <c r="I627" s="58">
        <v>5.58</v>
      </c>
      <c r="J627" s="58">
        <v>5.58</v>
      </c>
      <c r="K627" s="21" t="s">
        <v>1377</v>
      </c>
    </row>
    <row r="628" ht="21.75" customHeight="1">
      <c r="A628" s="20">
        <v>46073.0</v>
      </c>
      <c r="B628" s="21" t="s">
        <v>1528</v>
      </c>
      <c r="C628" s="21" t="s">
        <v>157</v>
      </c>
      <c r="D628" s="21" t="s">
        <v>349</v>
      </c>
      <c r="E628" s="21" t="s">
        <v>1530</v>
      </c>
      <c r="F628" s="21"/>
      <c r="G628" s="22">
        <v>3.0</v>
      </c>
      <c r="H628" s="22" t="s">
        <v>239</v>
      </c>
      <c r="I628" s="58">
        <v>15.99</v>
      </c>
      <c r="J628" s="58">
        <v>45.57</v>
      </c>
      <c r="K628" s="21" t="s">
        <v>1531</v>
      </c>
    </row>
    <row r="629" ht="21.75" customHeight="1">
      <c r="A629" s="20">
        <v>46078.0</v>
      </c>
      <c r="B629" s="21" t="s">
        <v>1532</v>
      </c>
      <c r="C629" s="21" t="s">
        <v>176</v>
      </c>
      <c r="D629" s="21" t="s">
        <v>175</v>
      </c>
      <c r="E629" s="21" t="s">
        <v>225</v>
      </c>
      <c r="F629" s="21" t="s">
        <v>563</v>
      </c>
      <c r="G629" s="22">
        <v>1.0</v>
      </c>
      <c r="H629" s="22" t="s">
        <v>177</v>
      </c>
      <c r="I629" s="58">
        <v>70.0</v>
      </c>
      <c r="J629" s="58">
        <f t="shared" ref="J629:J632" si="18">G629*I629</f>
        <v>70</v>
      </c>
      <c r="K629" s="21" t="s">
        <v>1534</v>
      </c>
    </row>
    <row r="630" ht="21.75" customHeight="1">
      <c r="A630" s="20">
        <v>46078.0</v>
      </c>
      <c r="B630" s="21" t="s">
        <v>1532</v>
      </c>
      <c r="C630" s="21" t="s">
        <v>176</v>
      </c>
      <c r="D630" s="21" t="s">
        <v>175</v>
      </c>
      <c r="E630" s="21" t="s">
        <v>256</v>
      </c>
      <c r="F630" s="21" t="s">
        <v>536</v>
      </c>
      <c r="G630" s="22">
        <v>3.0</v>
      </c>
      <c r="H630" s="22" t="s">
        <v>177</v>
      </c>
      <c r="I630" s="58">
        <v>48.0</v>
      </c>
      <c r="J630" s="58">
        <f t="shared" si="18"/>
        <v>144</v>
      </c>
      <c r="K630" s="21" t="s">
        <v>1125</v>
      </c>
    </row>
    <row r="631" ht="21.75" customHeight="1">
      <c r="A631" s="20">
        <v>46078.0</v>
      </c>
      <c r="B631" s="21" t="s">
        <v>1532</v>
      </c>
      <c r="C631" s="21" t="s">
        <v>176</v>
      </c>
      <c r="D631" s="21" t="s">
        <v>175</v>
      </c>
      <c r="E631" s="21" t="s">
        <v>184</v>
      </c>
      <c r="F631" s="21" t="s">
        <v>1488</v>
      </c>
      <c r="G631" s="22">
        <v>6.0</v>
      </c>
      <c r="H631" s="22" t="s">
        <v>177</v>
      </c>
      <c r="I631" s="58">
        <v>8.99</v>
      </c>
      <c r="J631" s="58">
        <f t="shared" si="18"/>
        <v>53.94</v>
      </c>
      <c r="K631" s="21" t="s">
        <v>1119</v>
      </c>
    </row>
    <row r="632" ht="21.75" customHeight="1">
      <c r="A632" s="20">
        <v>46078.0</v>
      </c>
      <c r="B632" s="21" t="s">
        <v>1532</v>
      </c>
      <c r="C632" s="21" t="s">
        <v>176</v>
      </c>
      <c r="D632" s="21" t="s">
        <v>175</v>
      </c>
      <c r="E632" s="21" t="s">
        <v>321</v>
      </c>
      <c r="F632" s="21" t="s">
        <v>652</v>
      </c>
      <c r="G632" s="22">
        <v>3.0</v>
      </c>
      <c r="H632" s="22" t="s">
        <v>177</v>
      </c>
      <c r="I632" s="58">
        <v>24.0</v>
      </c>
      <c r="J632" s="58">
        <f t="shared" si="18"/>
        <v>72</v>
      </c>
      <c r="K632" s="21" t="s">
        <v>1535</v>
      </c>
    </row>
    <row r="633" ht="21.75" customHeight="1">
      <c r="A633" s="20">
        <v>46078.0</v>
      </c>
      <c r="B633" s="21" t="s">
        <v>1536</v>
      </c>
      <c r="C633" s="21" t="s">
        <v>157</v>
      </c>
      <c r="D633" s="21" t="s">
        <v>349</v>
      </c>
      <c r="E633" s="21" t="s">
        <v>1537</v>
      </c>
      <c r="F633" s="21"/>
      <c r="G633" s="22">
        <v>1.0</v>
      </c>
      <c r="H633" s="22" t="s">
        <v>239</v>
      </c>
      <c r="I633" s="58">
        <v>9.49</v>
      </c>
      <c r="J633" s="58">
        <v>19.48</v>
      </c>
      <c r="K633" s="21" t="s">
        <v>1538</v>
      </c>
    </row>
    <row r="634" ht="21.75" customHeight="1">
      <c r="A634" s="20">
        <v>46078.0</v>
      </c>
      <c r="B634" s="21" t="s">
        <v>1539</v>
      </c>
      <c r="C634" s="21" t="s">
        <v>157</v>
      </c>
      <c r="D634" s="21" t="s">
        <v>349</v>
      </c>
      <c r="E634" s="21" t="s">
        <v>1537</v>
      </c>
      <c r="F634" s="21"/>
      <c r="G634" s="22">
        <v>2.0</v>
      </c>
      <c r="H634" s="22" t="s">
        <v>239</v>
      </c>
      <c r="I634" s="58">
        <v>9.02</v>
      </c>
      <c r="J634" s="58">
        <v>18.04</v>
      </c>
      <c r="K634" s="21" t="s">
        <v>1538</v>
      </c>
    </row>
    <row r="635" ht="21.75" customHeight="1">
      <c r="A635" s="20">
        <v>46083.0</v>
      </c>
      <c r="B635" s="21" t="s">
        <v>1541</v>
      </c>
      <c r="C635" s="21" t="s">
        <v>157</v>
      </c>
      <c r="D635" s="21" t="s">
        <v>271</v>
      </c>
      <c r="E635" s="21" t="s">
        <v>1181</v>
      </c>
      <c r="F635" s="21"/>
      <c r="G635" s="22">
        <v>1.0</v>
      </c>
      <c r="H635" s="22" t="s">
        <v>239</v>
      </c>
      <c r="I635" s="58">
        <v>42.0</v>
      </c>
      <c r="J635" s="58">
        <v>42.0</v>
      </c>
      <c r="K635" s="21" t="s">
        <v>1542</v>
      </c>
    </row>
    <row r="636" ht="21.75" customHeight="1">
      <c r="A636" s="20">
        <v>46083.0</v>
      </c>
      <c r="B636" s="21" t="s">
        <v>1541</v>
      </c>
      <c r="C636" s="21" t="s">
        <v>157</v>
      </c>
      <c r="D636" s="21" t="s">
        <v>271</v>
      </c>
      <c r="E636" s="21" t="s">
        <v>1172</v>
      </c>
      <c r="F636" s="21"/>
      <c r="G636" s="22">
        <v>2.0</v>
      </c>
      <c r="H636" s="22" t="s">
        <v>239</v>
      </c>
      <c r="I636" s="58">
        <v>4.59</v>
      </c>
      <c r="J636" s="58">
        <v>9.18</v>
      </c>
      <c r="K636" s="21" t="s">
        <v>1173</v>
      </c>
    </row>
    <row r="637" ht="21.75" customHeight="1">
      <c r="A637" s="20">
        <v>46083.0</v>
      </c>
      <c r="B637" s="21" t="s">
        <v>1541</v>
      </c>
      <c r="C637" s="21" t="s">
        <v>157</v>
      </c>
      <c r="D637" s="21" t="s">
        <v>226</v>
      </c>
      <c r="E637" s="21" t="s">
        <v>1545</v>
      </c>
      <c r="F637" s="21"/>
      <c r="G637" s="22">
        <v>1.0</v>
      </c>
      <c r="H637" s="22" t="s">
        <v>239</v>
      </c>
      <c r="I637" s="58">
        <v>23.99</v>
      </c>
      <c r="J637" s="58">
        <v>23.99</v>
      </c>
      <c r="K637" s="21" t="s">
        <v>1546</v>
      </c>
    </row>
    <row r="638" ht="21.75" customHeight="1">
      <c r="A638" s="20">
        <v>46083.0</v>
      </c>
      <c r="B638" s="21" t="s">
        <v>1541</v>
      </c>
      <c r="C638" s="21" t="s">
        <v>157</v>
      </c>
      <c r="D638" s="21" t="s">
        <v>271</v>
      </c>
      <c r="E638" s="21" t="s">
        <v>1037</v>
      </c>
      <c r="F638" s="21"/>
      <c r="G638" s="22">
        <v>1.0</v>
      </c>
      <c r="H638" s="22" t="s">
        <v>239</v>
      </c>
      <c r="I638" s="58">
        <v>13.32</v>
      </c>
      <c r="J638" s="58">
        <v>13.32</v>
      </c>
      <c r="K638" s="21" t="s">
        <v>1135</v>
      </c>
    </row>
    <row r="639" ht="21.75" customHeight="1">
      <c r="A639" s="20">
        <v>46084.0</v>
      </c>
      <c r="B639" s="21" t="s">
        <v>1548</v>
      </c>
      <c r="C639" s="21" t="s">
        <v>157</v>
      </c>
      <c r="D639" s="21" t="s">
        <v>226</v>
      </c>
      <c r="E639" s="21" t="s">
        <v>1549</v>
      </c>
      <c r="F639" s="21"/>
      <c r="G639" s="22">
        <v>1.0</v>
      </c>
      <c r="H639" s="22" t="s">
        <v>239</v>
      </c>
      <c r="I639" s="58">
        <v>5.63</v>
      </c>
      <c r="J639" s="58">
        <v>20.58</v>
      </c>
      <c r="K639" s="21" t="s">
        <v>1550</v>
      </c>
    </row>
    <row r="640" ht="21.75" customHeight="1">
      <c r="A640" s="20">
        <v>46090.0</v>
      </c>
      <c r="B640" s="21" t="s">
        <v>1551</v>
      </c>
      <c r="C640" s="21" t="s">
        <v>157</v>
      </c>
      <c r="D640" s="21" t="s">
        <v>271</v>
      </c>
      <c r="E640" s="21" t="s">
        <v>1066</v>
      </c>
      <c r="F640" s="21"/>
      <c r="G640" s="22">
        <v>2.0</v>
      </c>
      <c r="H640" s="22" t="s">
        <v>239</v>
      </c>
      <c r="I640" s="58">
        <v>8.99</v>
      </c>
      <c r="J640" s="58">
        <v>17.08</v>
      </c>
      <c r="K640" s="21" t="s">
        <v>1189</v>
      </c>
    </row>
    <row r="641" ht="21.75" customHeight="1">
      <c r="A641" s="20">
        <v>46090.0</v>
      </c>
      <c r="B641" s="21" t="s">
        <v>1552</v>
      </c>
      <c r="C641" s="21" t="s">
        <v>157</v>
      </c>
      <c r="D641" s="21" t="s">
        <v>42</v>
      </c>
      <c r="E641" s="21" t="s">
        <v>330</v>
      </c>
      <c r="F641" s="21"/>
      <c r="G641" s="22">
        <v>10.0</v>
      </c>
      <c r="H641" s="22" t="s">
        <v>239</v>
      </c>
      <c r="I641" s="58">
        <v>8.61</v>
      </c>
      <c r="J641" s="58">
        <v>86.1</v>
      </c>
      <c r="K641" s="21" t="s">
        <v>1265</v>
      </c>
    </row>
    <row r="642" ht="21.75" customHeight="1">
      <c r="A642" s="20">
        <v>46090.0</v>
      </c>
      <c r="B642" s="21" t="s">
        <v>1553</v>
      </c>
      <c r="C642" s="21" t="s">
        <v>157</v>
      </c>
      <c r="D642" s="21" t="s">
        <v>226</v>
      </c>
      <c r="E642" s="21" t="s">
        <v>1554</v>
      </c>
      <c r="F642" s="21"/>
      <c r="G642" s="22">
        <v>1.0</v>
      </c>
      <c r="H642" s="22" t="s">
        <v>239</v>
      </c>
      <c r="I642" s="58">
        <v>41.97</v>
      </c>
      <c r="J642" s="58">
        <v>41.97</v>
      </c>
      <c r="K642" s="21" t="s">
        <v>1555</v>
      </c>
    </row>
    <row r="643" ht="21.75" customHeight="1">
      <c r="A643" s="20">
        <v>46090.0</v>
      </c>
      <c r="B643" s="21" t="s">
        <v>1553</v>
      </c>
      <c r="C643" s="21" t="s">
        <v>157</v>
      </c>
      <c r="D643" s="21" t="s">
        <v>271</v>
      </c>
      <c r="E643" s="21" t="s">
        <v>1556</v>
      </c>
      <c r="F643" s="21"/>
      <c r="G643" s="22">
        <v>2.0</v>
      </c>
      <c r="H643" s="22" t="s">
        <v>239</v>
      </c>
      <c r="I643" s="58">
        <v>7.19</v>
      </c>
      <c r="J643" s="58">
        <v>14.38</v>
      </c>
      <c r="K643" s="21" t="s">
        <v>1557</v>
      </c>
    </row>
    <row r="644" ht="21.75" customHeight="1">
      <c r="A644" s="20">
        <v>46090.0</v>
      </c>
      <c r="B644" s="21" t="s">
        <v>1558</v>
      </c>
      <c r="C644" s="21" t="s">
        <v>157</v>
      </c>
      <c r="D644" s="21" t="s">
        <v>226</v>
      </c>
      <c r="E644" s="21" t="s">
        <v>1200</v>
      </c>
      <c r="F644" s="21"/>
      <c r="G644" s="22">
        <v>1.0</v>
      </c>
      <c r="H644" s="22" t="s">
        <v>239</v>
      </c>
      <c r="I644" s="58">
        <v>19.99</v>
      </c>
      <c r="J644" s="58">
        <v>19.99</v>
      </c>
      <c r="K644" s="21" t="s">
        <v>1201</v>
      </c>
    </row>
    <row r="645" ht="21.75" customHeight="1">
      <c r="A645" s="20">
        <v>46090.0</v>
      </c>
      <c r="B645" s="21" t="s">
        <v>1558</v>
      </c>
      <c r="C645" s="21" t="s">
        <v>157</v>
      </c>
      <c r="D645" s="21" t="s">
        <v>226</v>
      </c>
      <c r="E645" s="21" t="s">
        <v>1559</v>
      </c>
      <c r="F645" s="21"/>
      <c r="G645" s="22">
        <v>1.0</v>
      </c>
      <c r="H645" s="22" t="s">
        <v>239</v>
      </c>
      <c r="I645" s="58">
        <v>6.98</v>
      </c>
      <c r="J645" s="58">
        <v>6.98</v>
      </c>
      <c r="K645" s="21" t="s">
        <v>1560</v>
      </c>
    </row>
    <row r="646" ht="21.75" customHeight="1">
      <c r="A646" s="20">
        <v>46090.0</v>
      </c>
      <c r="B646" s="21" t="s">
        <v>1558</v>
      </c>
      <c r="C646" s="21" t="s">
        <v>157</v>
      </c>
      <c r="D646" s="21" t="s">
        <v>226</v>
      </c>
      <c r="E646" s="21" t="s">
        <v>1291</v>
      </c>
      <c r="F646" s="21"/>
      <c r="G646" s="22">
        <v>2.0</v>
      </c>
      <c r="H646" s="22" t="s">
        <v>239</v>
      </c>
      <c r="I646" s="58">
        <v>3.48</v>
      </c>
      <c r="J646" s="58">
        <v>6.96</v>
      </c>
      <c r="K646" s="21" t="s">
        <v>1292</v>
      </c>
    </row>
    <row r="647" ht="21.75" customHeight="1">
      <c r="A647" s="20">
        <v>46090.0</v>
      </c>
      <c r="B647" s="21" t="s">
        <v>1562</v>
      </c>
      <c r="C647" s="21" t="s">
        <v>157</v>
      </c>
      <c r="D647" s="21" t="s">
        <v>271</v>
      </c>
      <c r="E647" s="21" t="s">
        <v>1164</v>
      </c>
      <c r="F647" s="21"/>
      <c r="G647" s="22">
        <v>1.0</v>
      </c>
      <c r="H647" s="22" t="s">
        <v>239</v>
      </c>
      <c r="I647" s="58">
        <v>46.78</v>
      </c>
      <c r="J647" s="58">
        <v>46.78</v>
      </c>
      <c r="K647" s="21" t="s">
        <v>1564</v>
      </c>
    </row>
    <row r="648" ht="21.75" customHeight="1">
      <c r="A648" s="20">
        <v>46090.0</v>
      </c>
      <c r="B648" s="21" t="s">
        <v>1565</v>
      </c>
      <c r="C648" s="21" t="s">
        <v>157</v>
      </c>
      <c r="D648" s="21" t="s">
        <v>271</v>
      </c>
      <c r="E648" s="21" t="s">
        <v>1566</v>
      </c>
      <c r="F648" s="21"/>
      <c r="G648" s="22">
        <v>2.0</v>
      </c>
      <c r="H648" s="22" t="s">
        <v>239</v>
      </c>
      <c r="I648" s="58">
        <v>40.99</v>
      </c>
      <c r="J648" s="58">
        <v>81.98</v>
      </c>
      <c r="K648" s="21" t="s">
        <v>1568</v>
      </c>
    </row>
    <row r="649" ht="21.75" customHeight="1">
      <c r="A649" s="20">
        <v>46091.0</v>
      </c>
      <c r="B649" s="21" t="s">
        <v>1569</v>
      </c>
      <c r="C649" s="21" t="s">
        <v>157</v>
      </c>
      <c r="D649" s="21" t="s">
        <v>226</v>
      </c>
      <c r="E649" s="21" t="s">
        <v>1570</v>
      </c>
      <c r="F649" s="21"/>
      <c r="G649" s="22">
        <v>1.0</v>
      </c>
      <c r="H649" s="22" t="s">
        <v>239</v>
      </c>
      <c r="I649" s="58">
        <v>18.83</v>
      </c>
      <c r="J649" s="58">
        <v>18.83</v>
      </c>
      <c r="K649" s="21" t="s">
        <v>1571</v>
      </c>
    </row>
    <row r="650" ht="21.75" customHeight="1">
      <c r="A650" s="20">
        <v>46091.0</v>
      </c>
      <c r="B650" s="21" t="s">
        <v>1572</v>
      </c>
      <c r="C650" s="21" t="s">
        <v>157</v>
      </c>
      <c r="D650" s="21" t="s">
        <v>271</v>
      </c>
      <c r="E650" s="21" t="s">
        <v>1573</v>
      </c>
      <c r="F650" s="21"/>
      <c r="G650" s="22">
        <v>1.0</v>
      </c>
      <c r="H650" s="22" t="s">
        <v>239</v>
      </c>
      <c r="I650" s="58">
        <v>19.99</v>
      </c>
      <c r="J650" s="58">
        <v>19.99</v>
      </c>
      <c r="K650" s="21" t="s">
        <v>1574</v>
      </c>
    </row>
    <row r="651" ht="21.75" customHeight="1">
      <c r="A651" s="20">
        <v>46091.0</v>
      </c>
      <c r="B651" s="21" t="s">
        <v>1572</v>
      </c>
      <c r="C651" s="21" t="s">
        <v>157</v>
      </c>
      <c r="D651" s="21" t="s">
        <v>226</v>
      </c>
      <c r="E651" s="21" t="s">
        <v>1575</v>
      </c>
      <c r="F651" s="21"/>
      <c r="G651" s="22">
        <v>1.0</v>
      </c>
      <c r="H651" s="22" t="s">
        <v>239</v>
      </c>
      <c r="I651" s="58">
        <v>13.29</v>
      </c>
      <c r="J651" s="58">
        <v>13.29</v>
      </c>
      <c r="K651" s="21" t="s">
        <v>1576</v>
      </c>
    </row>
    <row r="652" ht="21.75" customHeight="1">
      <c r="A652" s="20">
        <v>46091.0</v>
      </c>
      <c r="B652" s="21" t="s">
        <v>1577</v>
      </c>
      <c r="C652" s="21" t="s">
        <v>157</v>
      </c>
      <c r="D652" s="21" t="s">
        <v>226</v>
      </c>
      <c r="E652" s="21" t="s">
        <v>1578</v>
      </c>
      <c r="F652" s="21"/>
      <c r="G652" s="22">
        <v>1.0</v>
      </c>
      <c r="H652" s="22" t="s">
        <v>239</v>
      </c>
      <c r="I652" s="58">
        <v>56.97</v>
      </c>
      <c r="J652" s="58">
        <v>56.97</v>
      </c>
      <c r="K652" s="21" t="s">
        <v>1579</v>
      </c>
    </row>
    <row r="653" ht="21.75" customHeight="1">
      <c r="A653" s="20">
        <v>46091.0</v>
      </c>
      <c r="B653" s="21" t="s">
        <v>1577</v>
      </c>
      <c r="C653" s="21" t="s">
        <v>157</v>
      </c>
      <c r="D653" s="21" t="s">
        <v>226</v>
      </c>
      <c r="E653" s="21" t="s">
        <v>1580</v>
      </c>
      <c r="F653" s="21"/>
      <c r="G653" s="22">
        <v>1.0</v>
      </c>
      <c r="H653" s="22" t="s">
        <v>239</v>
      </c>
      <c r="I653" s="58">
        <v>29.98</v>
      </c>
      <c r="J653" s="58">
        <v>29.98</v>
      </c>
      <c r="K653" s="21" t="s">
        <v>1581</v>
      </c>
    </row>
    <row r="654" ht="21.75" customHeight="1">
      <c r="A654" s="20">
        <v>46091.0</v>
      </c>
      <c r="B654" s="21" t="s">
        <v>1582</v>
      </c>
      <c r="C654" s="21" t="s">
        <v>157</v>
      </c>
      <c r="D654" s="21" t="s">
        <v>271</v>
      </c>
      <c r="E654" s="21" t="s">
        <v>1144</v>
      </c>
      <c r="F654" s="21"/>
      <c r="G654" s="22">
        <v>1.0</v>
      </c>
      <c r="H654" s="22" t="s">
        <v>239</v>
      </c>
      <c r="I654" s="58">
        <v>20.57</v>
      </c>
      <c r="J654" s="58">
        <v>20.57</v>
      </c>
      <c r="K654" s="21" t="s">
        <v>1145</v>
      </c>
    </row>
    <row r="655" ht="21.75" customHeight="1">
      <c r="A655" s="20">
        <v>46091.0</v>
      </c>
      <c r="B655" s="21" t="s">
        <v>1582</v>
      </c>
      <c r="C655" s="21" t="s">
        <v>157</v>
      </c>
      <c r="D655" s="21" t="s">
        <v>271</v>
      </c>
      <c r="E655" s="21" t="s">
        <v>1583</v>
      </c>
      <c r="F655" s="21"/>
      <c r="G655" s="22">
        <v>1.0</v>
      </c>
      <c r="H655" s="22" t="s">
        <v>239</v>
      </c>
      <c r="I655" s="58">
        <v>13.99</v>
      </c>
      <c r="J655" s="58">
        <v>13.99</v>
      </c>
      <c r="K655" s="21" t="s">
        <v>1584</v>
      </c>
    </row>
    <row r="656" ht="21.75" customHeight="1">
      <c r="A656" s="20">
        <v>46092.0</v>
      </c>
      <c r="B656" s="21" t="s">
        <v>1585</v>
      </c>
      <c r="C656" s="21" t="s">
        <v>307</v>
      </c>
      <c r="D656" s="21" t="s">
        <v>42</v>
      </c>
      <c r="E656" s="21" t="s">
        <v>309</v>
      </c>
      <c r="F656" s="21" t="s">
        <v>596</v>
      </c>
      <c r="G656" s="22">
        <v>2000.0</v>
      </c>
      <c r="H656" s="22" t="s">
        <v>73</v>
      </c>
      <c r="I656" s="58">
        <v>0.159</v>
      </c>
      <c r="J656" s="58">
        <v>318.0</v>
      </c>
      <c r="K656" s="21" t="s">
        <v>1557</v>
      </c>
    </row>
    <row r="657" ht="21.75" customHeight="1">
      <c r="A657" s="20">
        <v>46092.0</v>
      </c>
      <c r="B657" s="21" t="s">
        <v>1585</v>
      </c>
      <c r="C657" s="21" t="s">
        <v>307</v>
      </c>
      <c r="D657" s="21" t="s">
        <v>42</v>
      </c>
      <c r="E657" s="21" t="s">
        <v>317</v>
      </c>
      <c r="F657" s="21" t="s">
        <v>602</v>
      </c>
      <c r="G657" s="22">
        <v>1.0</v>
      </c>
      <c r="H657" s="22" t="s">
        <v>73</v>
      </c>
      <c r="I657" s="58">
        <v>105.88</v>
      </c>
      <c r="J657" s="58">
        <v>105.88</v>
      </c>
      <c r="K657" s="21" t="s">
        <v>1173</v>
      </c>
    </row>
    <row r="658" ht="21.75" customHeight="1">
      <c r="A658" s="20">
        <v>46092.0</v>
      </c>
      <c r="B658" s="21" t="s">
        <v>1586</v>
      </c>
      <c r="C658" s="21" t="s">
        <v>157</v>
      </c>
      <c r="D658" s="21" t="s">
        <v>349</v>
      </c>
      <c r="E658" s="21" t="s">
        <v>1588</v>
      </c>
      <c r="F658" s="21"/>
      <c r="G658" s="22">
        <v>1.0</v>
      </c>
      <c r="H658" s="22" t="s">
        <v>239</v>
      </c>
      <c r="I658" s="58">
        <v>98.99</v>
      </c>
      <c r="J658" s="58">
        <v>193.52</v>
      </c>
      <c r="K658" s="21" t="s">
        <v>1589</v>
      </c>
    </row>
    <row r="659" ht="21.75" customHeight="1">
      <c r="A659" s="20">
        <v>46092.0</v>
      </c>
      <c r="B659" s="21" t="s">
        <v>1590</v>
      </c>
      <c r="C659" s="21" t="s">
        <v>157</v>
      </c>
      <c r="D659" s="21" t="s">
        <v>271</v>
      </c>
      <c r="E659" s="21" t="s">
        <v>1591</v>
      </c>
      <c r="F659" s="21"/>
      <c r="G659" s="22">
        <v>1.0</v>
      </c>
      <c r="H659" s="22" t="s">
        <v>239</v>
      </c>
      <c r="I659" s="58">
        <v>14.99</v>
      </c>
      <c r="J659" s="58">
        <v>14.99</v>
      </c>
      <c r="K659" s="21" t="s">
        <v>1592</v>
      </c>
    </row>
    <row r="660" ht="21.75" customHeight="1">
      <c r="A660" s="20">
        <v>46092.0</v>
      </c>
      <c r="B660" s="21" t="s">
        <v>1593</v>
      </c>
      <c r="C660" s="21" t="s">
        <v>157</v>
      </c>
      <c r="D660" s="21" t="s">
        <v>349</v>
      </c>
      <c r="E660" s="21" t="s">
        <v>901</v>
      </c>
      <c r="F660" s="21"/>
      <c r="G660" s="22">
        <v>10.0</v>
      </c>
      <c r="H660" s="22" t="s">
        <v>239</v>
      </c>
      <c r="I660" s="58">
        <v>103.55</v>
      </c>
      <c r="J660" s="58">
        <v>1075.5</v>
      </c>
      <c r="K660" s="21" t="s">
        <v>1595</v>
      </c>
    </row>
    <row r="661" ht="21.75" customHeight="1">
      <c r="A661" s="20">
        <v>46092.0</v>
      </c>
      <c r="B661" s="21" t="s">
        <v>1596</v>
      </c>
      <c r="C661" s="21" t="s">
        <v>157</v>
      </c>
      <c r="D661" s="21" t="s">
        <v>271</v>
      </c>
      <c r="E661" s="21" t="s">
        <v>1597</v>
      </c>
      <c r="F661" s="21"/>
      <c r="G661" s="22">
        <v>1.0</v>
      </c>
      <c r="H661" s="22" t="s">
        <v>239</v>
      </c>
      <c r="I661" s="58">
        <v>199.99</v>
      </c>
      <c r="J661" s="58">
        <v>199.99</v>
      </c>
      <c r="K661" s="21" t="s">
        <v>1598</v>
      </c>
    </row>
    <row r="662" ht="21.75" customHeight="1">
      <c r="A662" s="20">
        <v>46092.0</v>
      </c>
      <c r="B662" s="21" t="s">
        <v>1596</v>
      </c>
      <c r="C662" s="21" t="s">
        <v>157</v>
      </c>
      <c r="D662" s="21" t="s">
        <v>989</v>
      </c>
      <c r="E662" s="21" t="s">
        <v>1599</v>
      </c>
      <c r="F662" s="21"/>
      <c r="G662" s="22">
        <v>1.0</v>
      </c>
      <c r="H662" s="22" t="s">
        <v>239</v>
      </c>
      <c r="I662" s="58">
        <v>14.9</v>
      </c>
      <c r="J662" s="58">
        <v>14.9</v>
      </c>
      <c r="K662" s="21" t="s">
        <v>1600</v>
      </c>
    </row>
    <row r="663" ht="21.75" customHeight="1">
      <c r="A663" s="20">
        <v>46092.0</v>
      </c>
      <c r="B663" s="21" t="s">
        <v>1596</v>
      </c>
      <c r="C663" s="21" t="s">
        <v>157</v>
      </c>
      <c r="D663" s="21" t="s">
        <v>989</v>
      </c>
      <c r="E663" s="21" t="s">
        <v>1601</v>
      </c>
      <c r="F663" s="21"/>
      <c r="G663" s="22">
        <v>1.0</v>
      </c>
      <c r="H663" s="22" t="s">
        <v>239</v>
      </c>
      <c r="I663" s="58">
        <v>15.99</v>
      </c>
      <c r="J663" s="58">
        <v>15.99</v>
      </c>
      <c r="K663" s="21" t="s">
        <v>1602</v>
      </c>
    </row>
    <row r="664" ht="21.75" customHeight="1">
      <c r="A664" s="20">
        <v>46092.0</v>
      </c>
      <c r="B664" s="21" t="s">
        <v>1596</v>
      </c>
      <c r="C664" s="21" t="s">
        <v>157</v>
      </c>
      <c r="D664" s="21" t="s">
        <v>271</v>
      </c>
      <c r="E664" s="21" t="s">
        <v>1597</v>
      </c>
      <c r="F664" s="21"/>
      <c r="G664" s="22">
        <v>1.0</v>
      </c>
      <c r="H664" s="22" t="s">
        <v>239</v>
      </c>
      <c r="I664" s="58">
        <v>199.99</v>
      </c>
      <c r="J664" s="58">
        <v>199.99</v>
      </c>
      <c r="K664" s="21" t="s">
        <v>1598</v>
      </c>
    </row>
    <row r="665" ht="21.75" customHeight="1">
      <c r="A665" s="20">
        <v>46092.0</v>
      </c>
      <c r="B665" s="21" t="s">
        <v>1596</v>
      </c>
      <c r="C665" s="21" t="s">
        <v>157</v>
      </c>
      <c r="D665" s="21" t="s">
        <v>271</v>
      </c>
      <c r="E665" s="21" t="s">
        <v>1597</v>
      </c>
      <c r="F665" s="21"/>
      <c r="G665" s="22">
        <v>1.0</v>
      </c>
      <c r="H665" s="22" t="s">
        <v>239</v>
      </c>
      <c r="I665" s="58">
        <v>199.99</v>
      </c>
      <c r="J665" s="58">
        <v>199.99</v>
      </c>
      <c r="K665" s="21" t="s">
        <v>1598</v>
      </c>
    </row>
    <row r="666" ht="21.75" customHeight="1">
      <c r="A666" s="20">
        <v>46092.0</v>
      </c>
      <c r="B666" s="21" t="s">
        <v>1596</v>
      </c>
      <c r="C666" s="21" t="s">
        <v>157</v>
      </c>
      <c r="D666" s="21" t="s">
        <v>989</v>
      </c>
      <c r="E666" s="21" t="s">
        <v>1599</v>
      </c>
      <c r="F666" s="21"/>
      <c r="G666" s="22">
        <v>1.0</v>
      </c>
      <c r="H666" s="22" t="s">
        <v>239</v>
      </c>
      <c r="I666" s="58">
        <v>14.9</v>
      </c>
      <c r="J666" s="58">
        <v>14.9</v>
      </c>
      <c r="K666" s="21" t="s">
        <v>1600</v>
      </c>
    </row>
    <row r="667" ht="21.75" customHeight="1">
      <c r="A667" s="20">
        <v>46092.0</v>
      </c>
      <c r="B667" s="21" t="s">
        <v>1596</v>
      </c>
      <c r="C667" s="21" t="s">
        <v>157</v>
      </c>
      <c r="D667" s="21" t="s">
        <v>989</v>
      </c>
      <c r="E667" s="21" t="s">
        <v>1601</v>
      </c>
      <c r="F667" s="21"/>
      <c r="G667" s="22">
        <v>1.0</v>
      </c>
      <c r="H667" s="22" t="s">
        <v>239</v>
      </c>
      <c r="I667" s="58">
        <v>15.99</v>
      </c>
      <c r="J667" s="58">
        <v>15.99</v>
      </c>
      <c r="K667" s="21" t="s">
        <v>1602</v>
      </c>
    </row>
    <row r="668" ht="21.75" customHeight="1">
      <c r="A668" s="20">
        <v>46093.0</v>
      </c>
      <c r="B668" s="21" t="s">
        <v>1603</v>
      </c>
      <c r="C668" s="21" t="s">
        <v>157</v>
      </c>
      <c r="D668" s="21" t="s">
        <v>271</v>
      </c>
      <c r="E668" s="21" t="s">
        <v>1604</v>
      </c>
      <c r="F668" s="21"/>
      <c r="G668" s="22">
        <v>1.0</v>
      </c>
      <c r="H668" s="22" t="s">
        <v>239</v>
      </c>
      <c r="I668" s="58">
        <v>18.39</v>
      </c>
      <c r="J668" s="58">
        <v>18.39</v>
      </c>
      <c r="K668" s="21" t="s">
        <v>1535</v>
      </c>
    </row>
    <row r="669" ht="21.75" customHeight="1">
      <c r="A669" s="20">
        <v>46093.0</v>
      </c>
      <c r="B669" s="21" t="s">
        <v>1603</v>
      </c>
      <c r="C669" s="21" t="s">
        <v>157</v>
      </c>
      <c r="D669" s="21" t="s">
        <v>271</v>
      </c>
      <c r="E669" s="21" t="s">
        <v>1591</v>
      </c>
      <c r="F669" s="21"/>
      <c r="G669" s="22">
        <v>1.0</v>
      </c>
      <c r="H669" s="22" t="s">
        <v>239</v>
      </c>
      <c r="I669" s="58">
        <v>14.99</v>
      </c>
      <c r="J669" s="58">
        <v>14.99</v>
      </c>
      <c r="K669" s="21" t="s">
        <v>1592</v>
      </c>
    </row>
    <row r="670" ht="21.75" customHeight="1">
      <c r="A670" s="20">
        <v>46093.0</v>
      </c>
      <c r="B670" s="21" t="s">
        <v>1603</v>
      </c>
      <c r="C670" s="21" t="s">
        <v>157</v>
      </c>
      <c r="D670" s="21" t="s">
        <v>226</v>
      </c>
      <c r="E670" s="21" t="s">
        <v>1605</v>
      </c>
      <c r="F670" s="21"/>
      <c r="G670" s="22">
        <v>1.0</v>
      </c>
      <c r="H670" s="22" t="s">
        <v>239</v>
      </c>
      <c r="I670" s="58">
        <v>17.17</v>
      </c>
      <c r="J670" s="58">
        <v>17.17</v>
      </c>
      <c r="K670" s="21" t="s">
        <v>1606</v>
      </c>
    </row>
    <row r="671" ht="21.75" customHeight="1">
      <c r="A671" s="20">
        <v>46094.0</v>
      </c>
      <c r="B671" s="21" t="s">
        <v>1608</v>
      </c>
      <c r="C671" s="21" t="s">
        <v>157</v>
      </c>
      <c r="D671" s="21" t="s">
        <v>226</v>
      </c>
      <c r="E671" s="21" t="s">
        <v>1609</v>
      </c>
      <c r="F671" s="21"/>
      <c r="G671" s="22">
        <v>1.0</v>
      </c>
      <c r="H671" s="22" t="s">
        <v>239</v>
      </c>
      <c r="I671" s="58">
        <v>8.69</v>
      </c>
      <c r="J671" s="58">
        <v>8.69</v>
      </c>
      <c r="K671" s="21" t="s">
        <v>1610</v>
      </c>
    </row>
    <row r="672" ht="21.75" customHeight="1">
      <c r="A672" s="20">
        <v>46098.0</v>
      </c>
      <c r="B672" s="21" t="s">
        <v>1611</v>
      </c>
      <c r="C672" s="21" t="s">
        <v>157</v>
      </c>
      <c r="D672" s="21" t="s">
        <v>271</v>
      </c>
      <c r="E672" s="21" t="s">
        <v>1612</v>
      </c>
      <c r="F672" s="21"/>
      <c r="G672" s="22">
        <v>1.0</v>
      </c>
      <c r="H672" s="22" t="s">
        <v>239</v>
      </c>
      <c r="I672" s="58">
        <v>7.99</v>
      </c>
      <c r="J672" s="58">
        <v>7.99</v>
      </c>
      <c r="K672" s="21" t="s">
        <v>1614</v>
      </c>
    </row>
    <row r="673" ht="21.75" customHeight="1">
      <c r="A673" s="20">
        <v>46098.0</v>
      </c>
      <c r="B673" s="21" t="s">
        <v>1611</v>
      </c>
      <c r="C673" s="21" t="s">
        <v>157</v>
      </c>
      <c r="D673" s="21" t="s">
        <v>271</v>
      </c>
      <c r="E673" s="21" t="s">
        <v>1616</v>
      </c>
      <c r="F673" s="21"/>
      <c r="G673" s="22">
        <v>2.0</v>
      </c>
      <c r="H673" s="22" t="s">
        <v>239</v>
      </c>
      <c r="I673" s="58">
        <v>2.49</v>
      </c>
      <c r="J673" s="58">
        <v>4.98</v>
      </c>
      <c r="K673" s="21" t="s">
        <v>1617</v>
      </c>
    </row>
    <row r="674" ht="21.75" customHeight="1">
      <c r="A674" s="20">
        <v>46098.0</v>
      </c>
      <c r="B674" s="21" t="s">
        <v>1611</v>
      </c>
      <c r="C674" s="21" t="s">
        <v>157</v>
      </c>
      <c r="D674" s="21" t="s">
        <v>271</v>
      </c>
      <c r="E674" s="21" t="s">
        <v>1618</v>
      </c>
      <c r="F674" s="21"/>
      <c r="G674" s="22">
        <v>1.0</v>
      </c>
      <c r="H674" s="22" t="s">
        <v>239</v>
      </c>
      <c r="I674" s="58">
        <v>39.95</v>
      </c>
      <c r="J674" s="58">
        <v>39.95</v>
      </c>
      <c r="K674" s="21" t="s">
        <v>1147</v>
      </c>
    </row>
    <row r="675" ht="21.75" customHeight="1">
      <c r="A675" s="20">
        <v>46098.0</v>
      </c>
      <c r="B675" s="21" t="s">
        <v>1611</v>
      </c>
      <c r="C675" s="21" t="s">
        <v>157</v>
      </c>
      <c r="D675" s="21" t="s">
        <v>271</v>
      </c>
      <c r="E675" s="21" t="s">
        <v>1619</v>
      </c>
      <c r="F675" s="21"/>
      <c r="G675" s="22">
        <v>1.0</v>
      </c>
      <c r="H675" s="22" t="s">
        <v>239</v>
      </c>
      <c r="I675" s="58">
        <v>5.98</v>
      </c>
      <c r="J675" s="58">
        <v>5.98</v>
      </c>
      <c r="K675" s="21" t="s">
        <v>1620</v>
      </c>
    </row>
    <row r="676" ht="21.75" customHeight="1">
      <c r="A676" s="20">
        <v>46098.0</v>
      </c>
      <c r="B676" s="21" t="s">
        <v>1621</v>
      </c>
      <c r="C676" s="21" t="s">
        <v>157</v>
      </c>
      <c r="D676" s="21" t="s">
        <v>226</v>
      </c>
      <c r="E676" s="21" t="s">
        <v>1022</v>
      </c>
      <c r="F676" s="21"/>
      <c r="G676" s="22">
        <v>1.0</v>
      </c>
      <c r="H676" s="22" t="s">
        <v>239</v>
      </c>
      <c r="I676" s="58">
        <v>150.88</v>
      </c>
      <c r="J676" s="58">
        <v>150.88</v>
      </c>
      <c r="K676" s="21" t="s">
        <v>1358</v>
      </c>
    </row>
    <row r="677" ht="21.75" customHeight="1">
      <c r="A677" s="20">
        <v>46099.0</v>
      </c>
      <c r="B677" s="21" t="s">
        <v>1622</v>
      </c>
      <c r="C677" s="21" t="s">
        <v>157</v>
      </c>
      <c r="D677" s="21" t="s">
        <v>226</v>
      </c>
      <c r="E677" s="21" t="s">
        <v>1623</v>
      </c>
      <c r="F677" s="21"/>
      <c r="G677" s="22">
        <v>1.0</v>
      </c>
      <c r="H677" s="22" t="s">
        <v>239</v>
      </c>
      <c r="I677" s="58">
        <v>96.49</v>
      </c>
      <c r="J677" s="58">
        <v>96.49</v>
      </c>
      <c r="K677" s="21" t="s">
        <v>1624</v>
      </c>
    </row>
    <row r="678" ht="21.75" customHeight="1">
      <c r="A678" s="20">
        <v>46099.0</v>
      </c>
      <c r="B678" s="21" t="s">
        <v>1622</v>
      </c>
      <c r="C678" s="21" t="s">
        <v>157</v>
      </c>
      <c r="D678" s="21" t="s">
        <v>226</v>
      </c>
      <c r="E678" s="21" t="s">
        <v>1625</v>
      </c>
      <c r="F678" s="21"/>
      <c r="G678" s="22">
        <v>2.0</v>
      </c>
      <c r="H678" s="22" t="s">
        <v>239</v>
      </c>
      <c r="I678" s="58">
        <v>19.99</v>
      </c>
      <c r="J678" s="58">
        <v>39.98</v>
      </c>
      <c r="K678" s="21" t="s">
        <v>1626</v>
      </c>
    </row>
    <row r="679" ht="21.75" customHeight="1">
      <c r="A679" s="20">
        <v>46100.0</v>
      </c>
      <c r="B679" s="21" t="s">
        <v>1627</v>
      </c>
      <c r="C679" s="21" t="s">
        <v>157</v>
      </c>
      <c r="D679" s="21" t="s">
        <v>349</v>
      </c>
      <c r="E679" s="21" t="s">
        <v>901</v>
      </c>
      <c r="F679" s="21"/>
      <c r="G679" s="22">
        <v>3.0</v>
      </c>
      <c r="H679" s="22" t="s">
        <v>239</v>
      </c>
      <c r="I679" s="58">
        <v>106.82</v>
      </c>
      <c r="J679" s="58">
        <v>360.46</v>
      </c>
      <c r="K679" s="21" t="s">
        <v>1595</v>
      </c>
    </row>
    <row r="680" ht="21.75" customHeight="1">
      <c r="A680" s="20">
        <v>46100.0</v>
      </c>
      <c r="B680" s="21" t="s">
        <v>1628</v>
      </c>
      <c r="C680" s="21" t="s">
        <v>157</v>
      </c>
      <c r="D680" s="21" t="s">
        <v>226</v>
      </c>
      <c r="E680" s="21" t="s">
        <v>1022</v>
      </c>
      <c r="F680" s="21"/>
      <c r="G680" s="22">
        <v>1.0</v>
      </c>
      <c r="H680" s="22" t="s">
        <v>239</v>
      </c>
      <c r="I680" s="58">
        <v>150.88</v>
      </c>
      <c r="J680" s="58">
        <v>150.88</v>
      </c>
      <c r="K680" s="21" t="s">
        <v>1358</v>
      </c>
    </row>
    <row r="681" ht="21.75" customHeight="1">
      <c r="A681" s="20">
        <v>46100.0</v>
      </c>
      <c r="B681" s="21" t="s">
        <v>1629</v>
      </c>
      <c r="C681" s="21" t="s">
        <v>157</v>
      </c>
      <c r="D681" s="21" t="s">
        <v>271</v>
      </c>
      <c r="E681" s="21" t="s">
        <v>1372</v>
      </c>
      <c r="F681" s="21"/>
      <c r="G681" s="22">
        <v>1.0</v>
      </c>
      <c r="H681" s="22" t="s">
        <v>239</v>
      </c>
      <c r="I681" s="58">
        <v>22.99</v>
      </c>
      <c r="J681" s="58">
        <v>20.69</v>
      </c>
      <c r="K681" s="21" t="s">
        <v>1373</v>
      </c>
    </row>
    <row r="682" ht="21.75" customHeight="1">
      <c r="A682" s="20">
        <v>46100.0</v>
      </c>
      <c r="B682" s="21" t="s">
        <v>1630</v>
      </c>
      <c r="C682" s="21" t="s">
        <v>157</v>
      </c>
      <c r="D682" s="21" t="s">
        <v>271</v>
      </c>
      <c r="E682" s="21" t="s">
        <v>1037</v>
      </c>
      <c r="F682" s="21"/>
      <c r="G682" s="22">
        <v>1.0</v>
      </c>
      <c r="H682" s="22" t="s">
        <v>239</v>
      </c>
      <c r="I682" s="58">
        <v>13.1</v>
      </c>
      <c r="J682" s="58">
        <v>13.1</v>
      </c>
      <c r="K682" s="21" t="s">
        <v>1135</v>
      </c>
    </row>
    <row r="683" ht="21.75" customHeight="1">
      <c r="A683" s="20">
        <v>46102.0</v>
      </c>
      <c r="B683" s="21" t="s">
        <v>1632</v>
      </c>
      <c r="C683" s="21" t="s">
        <v>157</v>
      </c>
      <c r="D683" s="21" t="s">
        <v>349</v>
      </c>
      <c r="E683" s="21" t="s">
        <v>1445</v>
      </c>
      <c r="F683" s="21"/>
      <c r="G683" s="22">
        <v>1.0</v>
      </c>
      <c r="H683" s="22" t="s">
        <v>239</v>
      </c>
      <c r="I683" s="58">
        <v>97.02</v>
      </c>
      <c r="J683" s="58">
        <v>97.02</v>
      </c>
      <c r="K683" s="21" t="s">
        <v>1446</v>
      </c>
    </row>
    <row r="684" ht="21.75" customHeight="1">
      <c r="A684" s="20">
        <v>46104.0</v>
      </c>
      <c r="B684" s="21" t="s">
        <v>1633</v>
      </c>
      <c r="C684" s="21" t="s">
        <v>157</v>
      </c>
      <c r="D684" s="21" t="s">
        <v>349</v>
      </c>
      <c r="E684" s="21" t="s">
        <v>1634</v>
      </c>
      <c r="F684" s="21"/>
      <c r="G684" s="22">
        <v>2.0</v>
      </c>
      <c r="H684" s="22" t="s">
        <v>239</v>
      </c>
      <c r="I684" s="58">
        <v>16.47</v>
      </c>
      <c r="J684" s="58">
        <v>32.94</v>
      </c>
      <c r="K684" s="21" t="s">
        <v>1635</v>
      </c>
    </row>
    <row r="685" ht="21.75" customHeight="1">
      <c r="A685" s="20">
        <v>46104.0</v>
      </c>
      <c r="B685" s="21" t="s">
        <v>1637</v>
      </c>
      <c r="C685" s="21" t="s">
        <v>157</v>
      </c>
      <c r="D685" s="21" t="s">
        <v>349</v>
      </c>
      <c r="E685" s="21" t="s">
        <v>901</v>
      </c>
      <c r="F685" s="21"/>
      <c r="G685" s="22">
        <v>2.0</v>
      </c>
      <c r="H685" s="22" t="s">
        <v>239</v>
      </c>
      <c r="I685" s="58">
        <v>106.82</v>
      </c>
      <c r="J685" s="58">
        <v>253.64</v>
      </c>
      <c r="K685" s="21" t="s">
        <v>1595</v>
      </c>
    </row>
    <row r="686" ht="21.75" customHeight="1">
      <c r="A686" s="20">
        <v>46105.0</v>
      </c>
      <c r="B686" s="21" t="s">
        <v>1638</v>
      </c>
      <c r="C686" s="21" t="s">
        <v>157</v>
      </c>
      <c r="D686" s="21" t="s">
        <v>226</v>
      </c>
      <c r="E686" s="21" t="s">
        <v>1639</v>
      </c>
      <c r="F686" s="21"/>
      <c r="G686" s="22">
        <v>5.0</v>
      </c>
      <c r="H686" s="22" t="s">
        <v>239</v>
      </c>
      <c r="I686" s="58">
        <v>43.69</v>
      </c>
      <c r="J686" s="58">
        <v>196.6</v>
      </c>
      <c r="K686" s="21" t="s">
        <v>1640</v>
      </c>
    </row>
    <row r="687" ht="21.75" customHeight="1">
      <c r="A687" s="20">
        <v>46105.0</v>
      </c>
      <c r="B687" s="21" t="s">
        <v>1641</v>
      </c>
      <c r="C687" s="21" t="s">
        <v>157</v>
      </c>
      <c r="D687" s="21" t="s">
        <v>452</v>
      </c>
      <c r="E687" s="21" t="s">
        <v>1642</v>
      </c>
      <c r="F687" s="21"/>
      <c r="G687" s="22">
        <v>1.0</v>
      </c>
      <c r="H687" s="22" t="s">
        <v>239</v>
      </c>
      <c r="I687" s="58">
        <v>47.41</v>
      </c>
      <c r="J687" s="58">
        <v>47.41</v>
      </c>
      <c r="K687" s="21" t="s">
        <v>1643</v>
      </c>
    </row>
    <row r="688" ht="21.75" customHeight="1">
      <c r="A688" s="20">
        <v>46105.0</v>
      </c>
      <c r="B688" s="21" t="s">
        <v>1641</v>
      </c>
      <c r="C688" s="21" t="s">
        <v>157</v>
      </c>
      <c r="D688" s="21" t="s">
        <v>452</v>
      </c>
      <c r="E688" s="21" t="s">
        <v>1402</v>
      </c>
      <c r="F688" s="21"/>
      <c r="G688" s="22">
        <v>5.0</v>
      </c>
      <c r="H688" s="22" t="s">
        <v>239</v>
      </c>
      <c r="I688" s="58">
        <v>24.69</v>
      </c>
      <c r="J688" s="58">
        <v>123.45</v>
      </c>
      <c r="K688" s="21" t="s">
        <v>1403</v>
      </c>
    </row>
    <row r="689" ht="21.75" customHeight="1">
      <c r="A689" s="20">
        <v>46105.0</v>
      </c>
      <c r="B689" s="21" t="s">
        <v>1644</v>
      </c>
      <c r="C689" s="21" t="s">
        <v>157</v>
      </c>
      <c r="D689" s="21" t="s">
        <v>452</v>
      </c>
      <c r="E689" s="21" t="s">
        <v>1645</v>
      </c>
      <c r="F689" s="21"/>
      <c r="G689" s="22">
        <v>1.0</v>
      </c>
      <c r="H689" s="22" t="s">
        <v>239</v>
      </c>
      <c r="I689" s="58">
        <v>47.41</v>
      </c>
      <c r="J689" s="58">
        <v>47.41</v>
      </c>
      <c r="K689" s="21" t="s">
        <v>1643</v>
      </c>
    </row>
    <row r="690" ht="21.75" customHeight="1">
      <c r="A690" s="20">
        <v>46105.0</v>
      </c>
      <c r="B690" s="21" t="s">
        <v>1644</v>
      </c>
      <c r="C690" s="21" t="s">
        <v>157</v>
      </c>
      <c r="D690" s="21" t="s">
        <v>452</v>
      </c>
      <c r="E690" s="21" t="s">
        <v>1646</v>
      </c>
      <c r="F690" s="21"/>
      <c r="G690" s="22">
        <v>1.0</v>
      </c>
      <c r="H690" s="22" t="s">
        <v>239</v>
      </c>
      <c r="I690" s="58">
        <v>47.41</v>
      </c>
      <c r="J690" s="58">
        <v>47.41</v>
      </c>
      <c r="K690" s="21" t="s">
        <v>1643</v>
      </c>
    </row>
    <row r="691" ht="21.75" customHeight="1">
      <c r="A691" s="20">
        <v>46105.0</v>
      </c>
      <c r="B691" s="21" t="s">
        <v>1647</v>
      </c>
      <c r="C691" s="21" t="s">
        <v>157</v>
      </c>
      <c r="D691" s="21" t="s">
        <v>42</v>
      </c>
      <c r="E691" s="21" t="s">
        <v>1127</v>
      </c>
      <c r="F691" s="21"/>
      <c r="G691" s="22">
        <v>10.0</v>
      </c>
      <c r="H691" s="22" t="s">
        <v>239</v>
      </c>
      <c r="I691" s="58">
        <v>7.34</v>
      </c>
      <c r="J691" s="58">
        <v>73.4</v>
      </c>
      <c r="K691" s="21" t="s">
        <v>1129</v>
      </c>
    </row>
    <row r="692" ht="21.75" customHeight="1">
      <c r="A692" s="20">
        <v>46105.0</v>
      </c>
      <c r="B692" s="21" t="s">
        <v>1648</v>
      </c>
      <c r="C692" s="21" t="s">
        <v>157</v>
      </c>
      <c r="D692" s="21" t="s">
        <v>349</v>
      </c>
      <c r="E692" s="21" t="s">
        <v>940</v>
      </c>
      <c r="F692" s="21"/>
      <c r="G692" s="22">
        <v>4.0</v>
      </c>
      <c r="H692" s="22" t="s">
        <v>239</v>
      </c>
      <c r="I692" s="58">
        <v>54.94</v>
      </c>
      <c r="J692" s="58">
        <v>219.76</v>
      </c>
      <c r="K692" s="21" t="s">
        <v>1325</v>
      </c>
    </row>
    <row r="693" ht="21.75" customHeight="1">
      <c r="A693" s="20">
        <v>46105.0</v>
      </c>
      <c r="B693" s="21" t="s">
        <v>1649</v>
      </c>
      <c r="C693" s="21" t="s">
        <v>157</v>
      </c>
      <c r="D693" s="21" t="s">
        <v>349</v>
      </c>
      <c r="E693" s="21" t="s">
        <v>1650</v>
      </c>
      <c r="F693" s="21"/>
      <c r="G693" s="22">
        <v>1.0</v>
      </c>
      <c r="H693" s="22" t="s">
        <v>239</v>
      </c>
      <c r="I693" s="58">
        <v>9.49</v>
      </c>
      <c r="J693" s="58">
        <v>9.49</v>
      </c>
      <c r="K693" s="21" t="s">
        <v>1538</v>
      </c>
    </row>
    <row r="694" ht="21.75" customHeight="1">
      <c r="A694" s="20">
        <v>46105.0</v>
      </c>
      <c r="B694" s="21" t="s">
        <v>1649</v>
      </c>
      <c r="C694" s="21" t="s">
        <v>157</v>
      </c>
      <c r="D694" s="21" t="s">
        <v>271</v>
      </c>
      <c r="E694" s="21" t="s">
        <v>1652</v>
      </c>
      <c r="F694" s="21"/>
      <c r="G694" s="22">
        <v>2.0</v>
      </c>
      <c r="H694" s="22" t="s">
        <v>239</v>
      </c>
      <c r="I694" s="58">
        <v>13.98</v>
      </c>
      <c r="J694" s="58">
        <v>27.96</v>
      </c>
      <c r="K694" s="21" t="s">
        <v>1653</v>
      </c>
    </row>
    <row r="695" ht="21.75" customHeight="1">
      <c r="A695" s="20">
        <v>46105.0</v>
      </c>
      <c r="B695" s="21" t="s">
        <v>1654</v>
      </c>
      <c r="C695" s="21" t="s">
        <v>157</v>
      </c>
      <c r="D695" s="21" t="s">
        <v>226</v>
      </c>
      <c r="E695" s="21" t="s">
        <v>1655</v>
      </c>
      <c r="F695" s="21"/>
      <c r="G695" s="22">
        <v>1.0</v>
      </c>
      <c r="H695" s="22" t="s">
        <v>239</v>
      </c>
      <c r="I695" s="58">
        <v>112.24</v>
      </c>
      <c r="J695" s="58">
        <v>112.24</v>
      </c>
      <c r="K695" s="21" t="s">
        <v>1656</v>
      </c>
    </row>
    <row r="696" ht="21.75" customHeight="1">
      <c r="A696" s="20">
        <v>46105.0</v>
      </c>
      <c r="B696" s="21" t="s">
        <v>1658</v>
      </c>
      <c r="C696" s="21" t="s">
        <v>157</v>
      </c>
      <c r="D696" s="21" t="s">
        <v>271</v>
      </c>
      <c r="E696" s="21" t="s">
        <v>1659</v>
      </c>
      <c r="F696" s="21"/>
      <c r="G696" s="22">
        <v>1.0</v>
      </c>
      <c r="H696" s="22" t="s">
        <v>239</v>
      </c>
      <c r="I696" s="58">
        <v>17.35</v>
      </c>
      <c r="J696" s="58">
        <v>17.35</v>
      </c>
      <c r="K696" s="21" t="s">
        <v>1660</v>
      </c>
    </row>
    <row r="697" ht="21.75" customHeight="1">
      <c r="A697" s="20">
        <v>46107.0</v>
      </c>
      <c r="B697" s="21" t="s">
        <v>1661</v>
      </c>
      <c r="C697" s="21" t="s">
        <v>157</v>
      </c>
      <c r="D697" s="21" t="s">
        <v>226</v>
      </c>
      <c r="E697" s="21" t="s">
        <v>1662</v>
      </c>
      <c r="F697" s="21"/>
      <c r="G697" s="22">
        <v>1.0</v>
      </c>
      <c r="H697" s="22" t="s">
        <v>239</v>
      </c>
      <c r="I697" s="58">
        <v>14.99</v>
      </c>
      <c r="J697" s="58">
        <v>14.99</v>
      </c>
      <c r="K697" s="21" t="s">
        <v>1663</v>
      </c>
    </row>
    <row r="698" ht="21.75" customHeight="1">
      <c r="A698" s="20">
        <v>46107.0</v>
      </c>
      <c r="B698" s="21" t="s">
        <v>1664</v>
      </c>
      <c r="C698" s="21" t="s">
        <v>157</v>
      </c>
      <c r="D698" s="21" t="s">
        <v>349</v>
      </c>
      <c r="E698" s="21" t="s">
        <v>1665</v>
      </c>
      <c r="F698" s="21"/>
      <c r="G698" s="22">
        <v>1.0</v>
      </c>
      <c r="H698" s="22" t="s">
        <v>239</v>
      </c>
      <c r="I698" s="58">
        <v>35.99</v>
      </c>
      <c r="J698" s="58">
        <v>35.99</v>
      </c>
      <c r="K698" s="21" t="s">
        <v>1666</v>
      </c>
    </row>
    <row r="699" ht="21.75" customHeight="1">
      <c r="A699" s="20">
        <v>46114.0</v>
      </c>
      <c r="B699" s="21" t="s">
        <v>1667</v>
      </c>
      <c r="C699" s="21" t="s">
        <v>157</v>
      </c>
      <c r="D699" s="21" t="s">
        <v>271</v>
      </c>
      <c r="E699" s="21" t="s">
        <v>1513</v>
      </c>
      <c r="F699" s="21"/>
      <c r="G699" s="22">
        <v>1.0</v>
      </c>
      <c r="H699" s="22" t="s">
        <v>239</v>
      </c>
      <c r="I699" s="58">
        <v>15.79</v>
      </c>
      <c r="J699" s="58">
        <v>15.79</v>
      </c>
      <c r="K699" s="21" t="s">
        <v>1668</v>
      </c>
    </row>
    <row r="700" ht="21.75" customHeight="1">
      <c r="A700" s="20">
        <v>46114.0</v>
      </c>
      <c r="B700" s="21" t="s">
        <v>1667</v>
      </c>
      <c r="C700" s="21" t="s">
        <v>157</v>
      </c>
      <c r="D700" s="21" t="s">
        <v>271</v>
      </c>
      <c r="E700" s="21" t="s">
        <v>1037</v>
      </c>
      <c r="F700" s="21"/>
      <c r="G700" s="22">
        <v>1.0</v>
      </c>
      <c r="H700" s="22" t="s">
        <v>239</v>
      </c>
      <c r="I700" s="58">
        <v>13.32</v>
      </c>
      <c r="J700" s="58">
        <v>13.32</v>
      </c>
      <c r="K700" s="21" t="s">
        <v>1135</v>
      </c>
    </row>
    <row r="701" ht="21.75" customHeight="1">
      <c r="A701" s="20">
        <v>46114.0</v>
      </c>
      <c r="B701" s="21" t="s">
        <v>1667</v>
      </c>
      <c r="C701" s="21" t="s">
        <v>157</v>
      </c>
      <c r="D701" s="21" t="s">
        <v>271</v>
      </c>
      <c r="E701" s="21" t="s">
        <v>1669</v>
      </c>
      <c r="F701" s="21"/>
      <c r="G701" s="22">
        <v>1.0</v>
      </c>
      <c r="H701" s="22" t="s">
        <v>239</v>
      </c>
      <c r="I701" s="58">
        <v>14.88</v>
      </c>
      <c r="J701" s="58">
        <v>14.88</v>
      </c>
      <c r="K701" s="21" t="s">
        <v>1670</v>
      </c>
    </row>
    <row r="702" ht="21.75" customHeight="1">
      <c r="A702" s="20">
        <v>46114.0</v>
      </c>
      <c r="B702" s="21" t="s">
        <v>1667</v>
      </c>
      <c r="C702" s="21" t="s">
        <v>157</v>
      </c>
      <c r="D702" s="21" t="s">
        <v>271</v>
      </c>
      <c r="E702" s="21" t="s">
        <v>1671</v>
      </c>
      <c r="F702" s="21"/>
      <c r="G702" s="22">
        <v>1.0</v>
      </c>
      <c r="H702" s="22" t="s">
        <v>239</v>
      </c>
      <c r="I702" s="58">
        <v>9.59</v>
      </c>
      <c r="J702" s="58">
        <v>9.59</v>
      </c>
      <c r="K702" s="21" t="s">
        <v>1377</v>
      </c>
    </row>
    <row r="703" ht="21.75" customHeight="1">
      <c r="A703" s="20">
        <v>46114.0</v>
      </c>
      <c r="B703" s="21" t="s">
        <v>1667</v>
      </c>
      <c r="C703" s="21" t="s">
        <v>157</v>
      </c>
      <c r="D703" s="21" t="s">
        <v>271</v>
      </c>
      <c r="E703" s="21" t="s">
        <v>1672</v>
      </c>
      <c r="F703" s="21"/>
      <c r="G703" s="22">
        <v>1.0</v>
      </c>
      <c r="H703" s="22" t="s">
        <v>239</v>
      </c>
      <c r="I703" s="58">
        <v>27.24</v>
      </c>
      <c r="J703" s="58">
        <v>27.24</v>
      </c>
      <c r="K703" s="21" t="s">
        <v>1673</v>
      </c>
    </row>
    <row r="704" ht="21.75" customHeight="1">
      <c r="A704" s="20">
        <v>46118.0</v>
      </c>
      <c r="B704" s="21" t="s">
        <v>1674</v>
      </c>
      <c r="C704" s="21" t="s">
        <v>176</v>
      </c>
      <c r="D704" s="21" t="s">
        <v>175</v>
      </c>
      <c r="E704" s="21" t="s">
        <v>225</v>
      </c>
      <c r="F704" s="21" t="s">
        <v>563</v>
      </c>
      <c r="G704" s="22">
        <v>1.0</v>
      </c>
      <c r="H704" s="22" t="s">
        <v>177</v>
      </c>
      <c r="I704" s="58">
        <v>70.0</v>
      </c>
      <c r="J704" s="58">
        <f t="shared" ref="J704:J709" si="19">G704*I704</f>
        <v>70</v>
      </c>
      <c r="K704" s="21" t="s">
        <v>1277</v>
      </c>
    </row>
    <row r="705" ht="21.75" customHeight="1">
      <c r="A705" s="20">
        <v>46118.0</v>
      </c>
      <c r="B705" s="21" t="s">
        <v>1674</v>
      </c>
      <c r="C705" s="21" t="s">
        <v>176</v>
      </c>
      <c r="D705" s="21" t="s">
        <v>175</v>
      </c>
      <c r="E705" s="21" t="s">
        <v>220</v>
      </c>
      <c r="F705" s="21" t="s">
        <v>513</v>
      </c>
      <c r="G705" s="22">
        <v>2.0</v>
      </c>
      <c r="H705" s="22" t="s">
        <v>177</v>
      </c>
      <c r="I705" s="58">
        <v>275.0</v>
      </c>
      <c r="J705" s="58">
        <f t="shared" si="19"/>
        <v>550</v>
      </c>
      <c r="K705" s="21" t="s">
        <v>1167</v>
      </c>
    </row>
    <row r="706" ht="21.75" customHeight="1">
      <c r="A706" s="20">
        <v>46118.0</v>
      </c>
      <c r="B706" s="21" t="s">
        <v>1674</v>
      </c>
      <c r="C706" s="21" t="s">
        <v>176</v>
      </c>
      <c r="D706" s="21" t="s">
        <v>175</v>
      </c>
      <c r="E706" s="21" t="s">
        <v>321</v>
      </c>
      <c r="F706" s="21" t="s">
        <v>652</v>
      </c>
      <c r="G706" s="22">
        <v>2.0</v>
      </c>
      <c r="H706" s="22" t="s">
        <v>177</v>
      </c>
      <c r="I706" s="58">
        <v>24.0</v>
      </c>
      <c r="J706" s="58">
        <f t="shared" si="19"/>
        <v>48</v>
      </c>
      <c r="K706" s="21" t="s">
        <v>1677</v>
      </c>
    </row>
    <row r="707" ht="21.75" customHeight="1">
      <c r="A707" s="20">
        <v>46118.0</v>
      </c>
      <c r="B707" s="21" t="s">
        <v>1674</v>
      </c>
      <c r="C707" s="21" t="s">
        <v>176</v>
      </c>
      <c r="D707" s="21" t="s">
        <v>175</v>
      </c>
      <c r="E707" s="21" t="s">
        <v>174</v>
      </c>
      <c r="F707" s="21" t="s">
        <v>686</v>
      </c>
      <c r="G707" s="22">
        <v>50.0</v>
      </c>
      <c r="H707" s="22" t="s">
        <v>177</v>
      </c>
      <c r="I707" s="58">
        <v>6.95</v>
      </c>
      <c r="J707" s="58">
        <f t="shared" si="19"/>
        <v>347.5</v>
      </c>
      <c r="K707" s="21" t="s">
        <v>1678</v>
      </c>
    </row>
    <row r="708" ht="21.75" customHeight="1">
      <c r="A708" s="20">
        <v>46118.0</v>
      </c>
      <c r="B708" s="21" t="s">
        <v>1674</v>
      </c>
      <c r="C708" s="21" t="s">
        <v>176</v>
      </c>
      <c r="D708" s="21" t="s">
        <v>175</v>
      </c>
      <c r="E708" s="21" t="s">
        <v>1679</v>
      </c>
      <c r="F708" s="21" t="s">
        <v>1680</v>
      </c>
      <c r="G708" s="22">
        <v>25.0</v>
      </c>
      <c r="H708" s="22" t="s">
        <v>177</v>
      </c>
      <c r="I708" s="58">
        <v>5.0</v>
      </c>
      <c r="J708" s="58">
        <f t="shared" si="19"/>
        <v>125</v>
      </c>
      <c r="K708" s="21" t="s">
        <v>1681</v>
      </c>
    </row>
    <row r="709" ht="21.75" customHeight="1">
      <c r="A709" s="20">
        <v>46118.0</v>
      </c>
      <c r="B709" s="21" t="s">
        <v>1674</v>
      </c>
      <c r="C709" s="21" t="s">
        <v>176</v>
      </c>
      <c r="D709" s="21" t="s">
        <v>175</v>
      </c>
      <c r="E709" s="21" t="s">
        <v>1682</v>
      </c>
      <c r="F709" s="21" t="s">
        <v>1683</v>
      </c>
      <c r="G709" s="22">
        <v>1.0</v>
      </c>
      <c r="H709" s="22" t="s">
        <v>177</v>
      </c>
      <c r="I709" s="58">
        <v>475.0</v>
      </c>
      <c r="J709" s="58">
        <f t="shared" si="19"/>
        <v>475</v>
      </c>
      <c r="K709" s="21" t="s">
        <v>1274</v>
      </c>
    </row>
    <row r="710" ht="21.75" customHeight="1">
      <c r="A710" s="20">
        <v>46118.0</v>
      </c>
      <c r="B710" s="21" t="s">
        <v>1684</v>
      </c>
      <c r="C710" s="21" t="s">
        <v>157</v>
      </c>
      <c r="D710" s="21" t="s">
        <v>452</v>
      </c>
      <c r="E710" s="21" t="s">
        <v>1054</v>
      </c>
      <c r="F710" s="21"/>
      <c r="G710" s="22">
        <v>5.0</v>
      </c>
      <c r="H710" s="22" t="s">
        <v>239</v>
      </c>
      <c r="I710" s="58">
        <v>14.06</v>
      </c>
      <c r="J710" s="58">
        <v>70.3</v>
      </c>
      <c r="K710" s="21" t="s">
        <v>1207</v>
      </c>
    </row>
    <row r="711" ht="21.75" customHeight="1">
      <c r="A711" s="20">
        <v>46118.0</v>
      </c>
      <c r="B711" s="21" t="s">
        <v>1685</v>
      </c>
      <c r="C711" s="21" t="s">
        <v>157</v>
      </c>
      <c r="D711" s="21" t="s">
        <v>271</v>
      </c>
      <c r="E711" s="21" t="s">
        <v>1686</v>
      </c>
      <c r="F711" s="21"/>
      <c r="G711" s="22">
        <v>1.0</v>
      </c>
      <c r="H711" s="22" t="s">
        <v>239</v>
      </c>
      <c r="I711" s="58">
        <v>46.99</v>
      </c>
      <c r="J711" s="58">
        <v>46.99</v>
      </c>
      <c r="K711" s="21" t="s">
        <v>1147</v>
      </c>
    </row>
    <row r="712" ht="21.75" customHeight="1">
      <c r="A712" s="20">
        <v>46118.0</v>
      </c>
      <c r="B712" s="21" t="s">
        <v>1687</v>
      </c>
      <c r="C712" s="21" t="s">
        <v>157</v>
      </c>
      <c r="D712" s="21" t="s">
        <v>271</v>
      </c>
      <c r="E712" s="21" t="s">
        <v>1172</v>
      </c>
      <c r="F712" s="21"/>
      <c r="G712" s="22">
        <v>2.0</v>
      </c>
      <c r="H712" s="22" t="s">
        <v>239</v>
      </c>
      <c r="I712" s="58">
        <v>3.77</v>
      </c>
      <c r="J712" s="58">
        <v>7.54</v>
      </c>
      <c r="K712" s="21" t="s">
        <v>1688</v>
      </c>
    </row>
    <row r="713" ht="21.75" customHeight="1">
      <c r="A713" s="20">
        <v>46118.0</v>
      </c>
      <c r="B713" s="21" t="s">
        <v>1690</v>
      </c>
      <c r="C713" s="21" t="s">
        <v>157</v>
      </c>
      <c r="D713" s="21" t="s">
        <v>271</v>
      </c>
      <c r="E713" s="21" t="s">
        <v>1691</v>
      </c>
      <c r="F713" s="21"/>
      <c r="G713" s="22">
        <v>1.0</v>
      </c>
      <c r="H713" s="22" t="s">
        <v>239</v>
      </c>
      <c r="I713" s="58">
        <v>31.94</v>
      </c>
      <c r="J713" s="58">
        <v>31.94</v>
      </c>
      <c r="K713" s="21" t="s">
        <v>1692</v>
      </c>
    </row>
    <row r="714" ht="21.75" customHeight="1">
      <c r="A714" s="20">
        <v>46118.0</v>
      </c>
      <c r="B714" s="21" t="s">
        <v>1690</v>
      </c>
      <c r="C714" s="21" t="s">
        <v>157</v>
      </c>
      <c r="D714" s="21" t="s">
        <v>271</v>
      </c>
      <c r="E714" s="21" t="s">
        <v>1181</v>
      </c>
      <c r="F714" s="21"/>
      <c r="G714" s="22">
        <v>1.0</v>
      </c>
      <c r="H714" s="22" t="s">
        <v>239</v>
      </c>
      <c r="I714" s="58">
        <v>42.0</v>
      </c>
      <c r="J714" s="58">
        <v>42.0</v>
      </c>
      <c r="K714" s="21" t="s">
        <v>1542</v>
      </c>
    </row>
    <row r="715" ht="21.75" customHeight="1">
      <c r="A715" s="20">
        <v>46118.0</v>
      </c>
      <c r="B715" s="21" t="s">
        <v>1690</v>
      </c>
      <c r="C715" s="21" t="s">
        <v>157</v>
      </c>
      <c r="D715" s="21" t="s">
        <v>226</v>
      </c>
      <c r="E715" s="21" t="s">
        <v>1694</v>
      </c>
      <c r="F715" s="21"/>
      <c r="G715" s="22">
        <v>1.0</v>
      </c>
      <c r="H715" s="22" t="s">
        <v>239</v>
      </c>
      <c r="I715" s="58">
        <v>22.86</v>
      </c>
      <c r="J715" s="58">
        <v>22.86</v>
      </c>
      <c r="K715" s="21" t="s">
        <v>1695</v>
      </c>
    </row>
    <row r="716" ht="21.75" customHeight="1">
      <c r="A716" s="20">
        <v>46119.0</v>
      </c>
      <c r="B716" s="21" t="s">
        <v>1696</v>
      </c>
      <c r="C716" s="21" t="s">
        <v>157</v>
      </c>
      <c r="D716" s="21" t="s">
        <v>226</v>
      </c>
      <c r="E716" s="21" t="s">
        <v>1697</v>
      </c>
      <c r="F716" s="21"/>
      <c r="G716" s="22">
        <v>1.0</v>
      </c>
      <c r="H716" s="22" t="s">
        <v>239</v>
      </c>
      <c r="I716" s="58">
        <v>17.95</v>
      </c>
      <c r="J716" s="58">
        <v>17.95</v>
      </c>
      <c r="K716" s="21" t="s">
        <v>1698</v>
      </c>
    </row>
    <row r="717" ht="21.75" customHeight="1">
      <c r="A717" s="20">
        <v>46120.0</v>
      </c>
      <c r="B717" s="21" t="s">
        <v>1699</v>
      </c>
      <c r="C717" s="21" t="s">
        <v>176</v>
      </c>
      <c r="D717" s="21" t="s">
        <v>175</v>
      </c>
      <c r="E717" s="21" t="s">
        <v>281</v>
      </c>
      <c r="F717" s="21" t="s">
        <v>558</v>
      </c>
      <c r="G717" s="22">
        <v>2.0</v>
      </c>
      <c r="H717" s="22" t="s">
        <v>177</v>
      </c>
      <c r="I717" s="58">
        <v>12.99</v>
      </c>
      <c r="J717" s="58">
        <f>G717*I717</f>
        <v>25.98</v>
      </c>
      <c r="K717" s="21" t="s">
        <v>1700</v>
      </c>
    </row>
    <row r="718" ht="21.75" customHeight="1">
      <c r="A718" s="20">
        <v>46120.0</v>
      </c>
      <c r="B718" s="21" t="s">
        <v>1701</v>
      </c>
      <c r="C718" s="21" t="s">
        <v>157</v>
      </c>
      <c r="D718" s="21" t="s">
        <v>349</v>
      </c>
      <c r="E718" s="21" t="s">
        <v>1305</v>
      </c>
      <c r="F718" s="21"/>
      <c r="G718" s="22">
        <v>4.0</v>
      </c>
      <c r="H718" s="22" t="s">
        <v>239</v>
      </c>
      <c r="I718" s="58">
        <v>9.49</v>
      </c>
      <c r="J718" s="58">
        <v>37.96</v>
      </c>
      <c r="K718" s="21" t="s">
        <v>1307</v>
      </c>
    </row>
    <row r="719" ht="21.75" customHeight="1">
      <c r="A719" s="20">
        <v>46125.0</v>
      </c>
      <c r="B719" s="21" t="s">
        <v>1702</v>
      </c>
      <c r="C719" s="21" t="s">
        <v>157</v>
      </c>
      <c r="D719" s="21" t="s">
        <v>42</v>
      </c>
      <c r="E719" s="21" t="s">
        <v>1703</v>
      </c>
      <c r="F719" s="21"/>
      <c r="G719" s="22">
        <v>5.0</v>
      </c>
      <c r="H719" s="22" t="s">
        <v>239</v>
      </c>
      <c r="I719" s="58">
        <v>12.95</v>
      </c>
      <c r="J719" s="58">
        <v>64.75</v>
      </c>
      <c r="K719" s="21" t="s">
        <v>1704</v>
      </c>
    </row>
    <row r="720" ht="21.75" customHeight="1">
      <c r="A720" s="20">
        <v>46125.0</v>
      </c>
      <c r="B720" s="21" t="s">
        <v>1705</v>
      </c>
      <c r="C720" s="21" t="s">
        <v>157</v>
      </c>
      <c r="D720" s="21" t="s">
        <v>226</v>
      </c>
      <c r="E720" s="21" t="s">
        <v>1053</v>
      </c>
      <c r="F720" s="21"/>
      <c r="G720" s="22">
        <v>10.0</v>
      </c>
      <c r="H720" s="22" t="s">
        <v>239</v>
      </c>
      <c r="I720" s="58">
        <v>18.99</v>
      </c>
      <c r="J720" s="58">
        <v>189.9</v>
      </c>
      <c r="K720" s="21" t="s">
        <v>1184</v>
      </c>
    </row>
    <row r="721" ht="21.75" customHeight="1">
      <c r="A721" s="20">
        <v>46125.0</v>
      </c>
      <c r="B721" s="21" t="s">
        <v>1705</v>
      </c>
      <c r="C721" s="21" t="s">
        <v>157</v>
      </c>
      <c r="D721" s="21" t="s">
        <v>42</v>
      </c>
      <c r="E721" s="21" t="s">
        <v>330</v>
      </c>
      <c r="F721" s="21"/>
      <c r="G721" s="22">
        <v>1.0</v>
      </c>
      <c r="H721" s="22" t="s">
        <v>239</v>
      </c>
      <c r="I721" s="58">
        <v>8.86</v>
      </c>
      <c r="J721" s="58">
        <v>8.86</v>
      </c>
      <c r="K721" s="21" t="s">
        <v>1707</v>
      </c>
    </row>
    <row r="722" ht="21.75" customHeight="1">
      <c r="A722" s="20">
        <v>46125.0</v>
      </c>
      <c r="B722" s="21" t="s">
        <v>1705</v>
      </c>
      <c r="C722" s="21" t="s">
        <v>157</v>
      </c>
      <c r="D722" s="21" t="s">
        <v>226</v>
      </c>
      <c r="E722" s="21" t="s">
        <v>1708</v>
      </c>
      <c r="F722" s="21"/>
      <c r="G722" s="22">
        <v>1.0</v>
      </c>
      <c r="H722" s="22" t="s">
        <v>239</v>
      </c>
      <c r="I722" s="58">
        <v>67.89</v>
      </c>
      <c r="J722" s="58">
        <v>67.89</v>
      </c>
      <c r="K722" s="21" t="s">
        <v>1709</v>
      </c>
    </row>
    <row r="723" ht="21.75" customHeight="1">
      <c r="A723" s="20">
        <v>46125.0</v>
      </c>
      <c r="B723" s="21" t="s">
        <v>1705</v>
      </c>
      <c r="C723" s="21" t="s">
        <v>157</v>
      </c>
      <c r="D723" s="21" t="s">
        <v>42</v>
      </c>
      <c r="E723" s="21" t="s">
        <v>1710</v>
      </c>
      <c r="F723" s="21"/>
      <c r="G723" s="22">
        <v>2.0</v>
      </c>
      <c r="H723" s="22" t="s">
        <v>239</v>
      </c>
      <c r="I723" s="58">
        <v>9.99</v>
      </c>
      <c r="J723" s="58">
        <v>19.98</v>
      </c>
      <c r="K723" s="21" t="s">
        <v>1712</v>
      </c>
    </row>
    <row r="724" ht="21.75" customHeight="1">
      <c r="A724" s="20">
        <v>46125.0</v>
      </c>
      <c r="B724" s="21" t="s">
        <v>1713</v>
      </c>
      <c r="C724" s="21" t="s">
        <v>157</v>
      </c>
      <c r="D724" s="21" t="s">
        <v>429</v>
      </c>
      <c r="E724" s="21" t="s">
        <v>1714</v>
      </c>
      <c r="F724" s="21"/>
      <c r="G724" s="22">
        <v>1.0</v>
      </c>
      <c r="H724" s="22" t="s">
        <v>239</v>
      </c>
      <c r="I724" s="58">
        <v>13.57</v>
      </c>
      <c r="J724" s="58">
        <v>13.57</v>
      </c>
      <c r="K724" s="21" t="s">
        <v>1715</v>
      </c>
    </row>
    <row r="725" ht="21.75" customHeight="1">
      <c r="A725" s="20">
        <v>46125.0</v>
      </c>
      <c r="B725" s="21" t="s">
        <v>1713</v>
      </c>
      <c r="C725" s="21" t="s">
        <v>157</v>
      </c>
      <c r="D725" s="21" t="s">
        <v>42</v>
      </c>
      <c r="E725" s="21" t="s">
        <v>1127</v>
      </c>
      <c r="F725" s="21"/>
      <c r="G725" s="22">
        <v>5.0</v>
      </c>
      <c r="H725" s="22" t="s">
        <v>239</v>
      </c>
      <c r="I725" s="58">
        <v>7.5</v>
      </c>
      <c r="J725" s="58">
        <v>37.5</v>
      </c>
      <c r="K725" s="21" t="s">
        <v>1129</v>
      </c>
    </row>
    <row r="726" ht="21.75" customHeight="1">
      <c r="A726" s="20">
        <v>46125.0</v>
      </c>
      <c r="B726" s="21" t="s">
        <v>1713</v>
      </c>
      <c r="C726" s="21" t="s">
        <v>157</v>
      </c>
      <c r="D726" s="21" t="s">
        <v>429</v>
      </c>
      <c r="E726" s="21" t="s">
        <v>1714</v>
      </c>
      <c r="F726" s="21"/>
      <c r="G726" s="22">
        <v>5.0</v>
      </c>
      <c r="H726" s="22" t="s">
        <v>239</v>
      </c>
      <c r="I726" s="58">
        <v>13.57</v>
      </c>
      <c r="J726" s="58">
        <v>67.85</v>
      </c>
      <c r="K726" s="21" t="s">
        <v>1715</v>
      </c>
    </row>
    <row r="727" ht="21.75" customHeight="1">
      <c r="A727" s="20">
        <v>46125.0</v>
      </c>
      <c r="B727" s="21" t="s">
        <v>1716</v>
      </c>
      <c r="C727" s="21" t="s">
        <v>157</v>
      </c>
      <c r="D727" s="21" t="s">
        <v>42</v>
      </c>
      <c r="E727" s="21" t="s">
        <v>1481</v>
      </c>
      <c r="F727" s="21"/>
      <c r="G727" s="22">
        <v>2.0</v>
      </c>
      <c r="H727" s="22" t="s">
        <v>239</v>
      </c>
      <c r="I727" s="58">
        <v>14.24</v>
      </c>
      <c r="J727" s="58">
        <v>28.48</v>
      </c>
      <c r="K727" s="21" t="s">
        <v>1482</v>
      </c>
    </row>
    <row r="728" ht="21.75" customHeight="1">
      <c r="A728" s="20">
        <v>46125.0</v>
      </c>
      <c r="B728" s="21" t="s">
        <v>1717</v>
      </c>
      <c r="C728" s="21" t="s">
        <v>157</v>
      </c>
      <c r="D728" s="21" t="s">
        <v>226</v>
      </c>
      <c r="E728" s="21" t="s">
        <v>1718</v>
      </c>
      <c r="F728" s="21"/>
      <c r="G728" s="22">
        <v>1.0</v>
      </c>
      <c r="H728" s="22" t="s">
        <v>239</v>
      </c>
      <c r="I728" s="58">
        <v>46.0</v>
      </c>
      <c r="J728" s="58">
        <v>46.0</v>
      </c>
      <c r="K728" s="21" t="s">
        <v>1719</v>
      </c>
    </row>
    <row r="729" ht="21.75" customHeight="1">
      <c r="A729" s="20">
        <v>46126.0</v>
      </c>
      <c r="B729" s="21" t="s">
        <v>1720</v>
      </c>
      <c r="C729" s="21" t="s">
        <v>157</v>
      </c>
      <c r="D729" s="21" t="s">
        <v>349</v>
      </c>
      <c r="E729" s="21" t="s">
        <v>1721</v>
      </c>
      <c r="F729" s="21"/>
      <c r="G729" s="22">
        <v>2.0</v>
      </c>
      <c r="H729" s="22" t="s">
        <v>239</v>
      </c>
      <c r="I729" s="58">
        <v>7.99</v>
      </c>
      <c r="J729" s="58">
        <v>15.98</v>
      </c>
      <c r="K729" s="21" t="s">
        <v>1722</v>
      </c>
    </row>
    <row r="730" ht="21.75" customHeight="1">
      <c r="A730" s="20">
        <v>46127.0</v>
      </c>
      <c r="B730" s="21" t="s">
        <v>1723</v>
      </c>
      <c r="C730" s="21" t="s">
        <v>157</v>
      </c>
      <c r="D730" s="21" t="s">
        <v>271</v>
      </c>
      <c r="E730" s="21" t="s">
        <v>1724</v>
      </c>
      <c r="F730" s="21"/>
      <c r="G730" s="22">
        <v>1.0</v>
      </c>
      <c r="H730" s="22" t="s">
        <v>239</v>
      </c>
      <c r="I730" s="58">
        <v>17.25</v>
      </c>
      <c r="J730" s="58">
        <v>17.25</v>
      </c>
      <c r="K730" s="21" t="s">
        <v>1725</v>
      </c>
    </row>
    <row r="731" ht="21.75" customHeight="1">
      <c r="A731" s="20">
        <v>46127.0</v>
      </c>
      <c r="B731" s="21" t="s">
        <v>1723</v>
      </c>
      <c r="C731" s="21" t="s">
        <v>157</v>
      </c>
      <c r="D731" s="21" t="s">
        <v>349</v>
      </c>
      <c r="E731" s="21" t="s">
        <v>1650</v>
      </c>
      <c r="F731" s="21"/>
      <c r="G731" s="22">
        <v>1.0</v>
      </c>
      <c r="H731" s="22" t="s">
        <v>239</v>
      </c>
      <c r="I731" s="58">
        <v>9.49</v>
      </c>
      <c r="J731" s="58">
        <v>9.49</v>
      </c>
      <c r="K731" s="21" t="s">
        <v>1538</v>
      </c>
    </row>
    <row r="732" ht="21.75" customHeight="1">
      <c r="A732" s="20">
        <v>46132.0</v>
      </c>
      <c r="B732" s="21" t="s">
        <v>1726</v>
      </c>
      <c r="C732" s="21" t="s">
        <v>176</v>
      </c>
      <c r="D732" s="21" t="s">
        <v>175</v>
      </c>
      <c r="E732" s="21" t="s">
        <v>203</v>
      </c>
      <c r="F732" s="21" t="s">
        <v>1727</v>
      </c>
      <c r="G732" s="22">
        <v>1.0</v>
      </c>
      <c r="H732" s="22" t="s">
        <v>177</v>
      </c>
      <c r="I732" s="58">
        <v>17.0</v>
      </c>
      <c r="J732" s="58">
        <f t="shared" ref="J732:J737" si="20">G732*I732</f>
        <v>17</v>
      </c>
      <c r="K732" s="21" t="s">
        <v>1388</v>
      </c>
    </row>
    <row r="733" ht="21.75" customHeight="1">
      <c r="A733" s="20">
        <v>46132.0</v>
      </c>
      <c r="B733" s="21" t="s">
        <v>1726</v>
      </c>
      <c r="C733" s="21" t="s">
        <v>176</v>
      </c>
      <c r="D733" s="21" t="s">
        <v>175</v>
      </c>
      <c r="E733" s="21" t="s">
        <v>184</v>
      </c>
      <c r="F733" s="21" t="s">
        <v>1488</v>
      </c>
      <c r="G733" s="22">
        <v>8.0</v>
      </c>
      <c r="H733" s="22" t="s">
        <v>177</v>
      </c>
      <c r="I733" s="58">
        <v>8.99</v>
      </c>
      <c r="J733" s="58">
        <f t="shared" si="20"/>
        <v>71.92</v>
      </c>
      <c r="K733" s="21" t="s">
        <v>1730</v>
      </c>
    </row>
    <row r="734" ht="21.75" customHeight="1">
      <c r="A734" s="20">
        <v>46132.0</v>
      </c>
      <c r="B734" s="21" t="s">
        <v>1726</v>
      </c>
      <c r="C734" s="21" t="s">
        <v>176</v>
      </c>
      <c r="D734" s="21" t="s">
        <v>175</v>
      </c>
      <c r="E734" s="21" t="s">
        <v>281</v>
      </c>
      <c r="F734" s="21" t="s">
        <v>558</v>
      </c>
      <c r="G734" s="22">
        <v>2.0</v>
      </c>
      <c r="H734" s="22" t="s">
        <v>177</v>
      </c>
      <c r="I734" s="58">
        <v>12.99</v>
      </c>
      <c r="J734" s="58">
        <f t="shared" si="20"/>
        <v>25.98</v>
      </c>
      <c r="K734" s="21" t="s">
        <v>1731</v>
      </c>
    </row>
    <row r="735" ht="21.75" customHeight="1">
      <c r="A735" s="20">
        <v>46132.0</v>
      </c>
      <c r="B735" s="21" t="s">
        <v>1726</v>
      </c>
      <c r="C735" s="21" t="s">
        <v>176</v>
      </c>
      <c r="D735" s="21" t="s">
        <v>175</v>
      </c>
      <c r="E735" s="21" t="s">
        <v>1732</v>
      </c>
      <c r="F735" s="21" t="s">
        <v>1733</v>
      </c>
      <c r="G735" s="22">
        <v>1.0</v>
      </c>
      <c r="H735" s="22" t="s">
        <v>177</v>
      </c>
      <c r="I735" s="58">
        <v>89.54</v>
      </c>
      <c r="J735" s="58">
        <f t="shared" si="20"/>
        <v>89.54</v>
      </c>
      <c r="K735" s="21" t="s">
        <v>1734</v>
      </c>
    </row>
    <row r="736" ht="21.75" customHeight="1">
      <c r="A736" s="20">
        <v>46132.0</v>
      </c>
      <c r="B736" s="21" t="s">
        <v>1726</v>
      </c>
      <c r="C736" s="21" t="s">
        <v>176</v>
      </c>
      <c r="D736" s="21" t="s">
        <v>175</v>
      </c>
      <c r="E736" s="21" t="s">
        <v>1543</v>
      </c>
      <c r="F736" s="21" t="s">
        <v>1547</v>
      </c>
      <c r="G736" s="22">
        <v>1.0</v>
      </c>
      <c r="H736" s="22" t="s">
        <v>177</v>
      </c>
      <c r="I736" s="58">
        <v>53.17</v>
      </c>
      <c r="J736" s="58">
        <f t="shared" si="20"/>
        <v>53.17</v>
      </c>
      <c r="K736" s="21" t="s">
        <v>1735</v>
      </c>
    </row>
    <row r="737" ht="21.75" customHeight="1">
      <c r="A737" s="20">
        <v>46132.0</v>
      </c>
      <c r="B737" s="21" t="s">
        <v>1726</v>
      </c>
      <c r="C737" s="21" t="s">
        <v>176</v>
      </c>
      <c r="D737" s="21" t="s">
        <v>175</v>
      </c>
      <c r="E737" s="21" t="s">
        <v>301</v>
      </c>
      <c r="F737" s="21" t="s">
        <v>1331</v>
      </c>
      <c r="G737" s="22">
        <v>1.0</v>
      </c>
      <c r="H737" s="22" t="s">
        <v>177</v>
      </c>
      <c r="I737" s="58">
        <v>69.99</v>
      </c>
      <c r="J737" s="58">
        <f t="shared" si="20"/>
        <v>69.99</v>
      </c>
      <c r="K737" s="21" t="s">
        <v>1736</v>
      </c>
    </row>
    <row r="738" ht="21.75" customHeight="1">
      <c r="A738" s="20">
        <v>46134.0</v>
      </c>
      <c r="B738" s="21" t="s">
        <v>1737</v>
      </c>
      <c r="C738" s="21" t="s">
        <v>157</v>
      </c>
      <c r="D738" s="21" t="s">
        <v>271</v>
      </c>
      <c r="E738" s="21" t="s">
        <v>1164</v>
      </c>
      <c r="F738" s="21"/>
      <c r="G738" s="22">
        <v>1.0</v>
      </c>
      <c r="H738" s="22" t="s">
        <v>239</v>
      </c>
      <c r="I738" s="58">
        <v>46.19</v>
      </c>
      <c r="J738" s="58">
        <v>46.19</v>
      </c>
      <c r="K738" s="21" t="s">
        <v>1165</v>
      </c>
    </row>
    <row r="739" ht="21.75" customHeight="1">
      <c r="A739" s="20">
        <v>46134.0</v>
      </c>
      <c r="B739" s="21" t="s">
        <v>1738</v>
      </c>
      <c r="C739" s="21" t="s">
        <v>157</v>
      </c>
      <c r="D739" s="21" t="s">
        <v>42</v>
      </c>
      <c r="E739" s="21" t="s">
        <v>1739</v>
      </c>
      <c r="F739" s="21"/>
      <c r="G739" s="22">
        <v>2.0</v>
      </c>
      <c r="H739" s="22" t="s">
        <v>239</v>
      </c>
      <c r="I739" s="58">
        <v>125.0</v>
      </c>
      <c r="J739" s="58">
        <v>250.0</v>
      </c>
      <c r="K739" s="21" t="s">
        <v>1740</v>
      </c>
    </row>
    <row r="740" ht="21.75" customHeight="1">
      <c r="A740" s="20">
        <v>46134.0</v>
      </c>
      <c r="B740" s="21" t="s">
        <v>1741</v>
      </c>
      <c r="C740" s="21" t="s">
        <v>157</v>
      </c>
      <c r="D740" s="21" t="s">
        <v>271</v>
      </c>
      <c r="E740" s="21" t="s">
        <v>1566</v>
      </c>
      <c r="F740" s="21"/>
      <c r="G740" s="22">
        <v>1.0</v>
      </c>
      <c r="H740" s="22" t="s">
        <v>239</v>
      </c>
      <c r="I740" s="58">
        <v>44.41</v>
      </c>
      <c r="J740" s="58">
        <v>44.41</v>
      </c>
      <c r="K740" s="21" t="s">
        <v>104</v>
      </c>
    </row>
    <row r="741" ht="21.75" customHeight="1">
      <c r="A741" s="20">
        <v>46139.0</v>
      </c>
      <c r="B741" s="21" t="s">
        <v>1742</v>
      </c>
      <c r="C741" s="21" t="s">
        <v>157</v>
      </c>
      <c r="D741" s="21" t="s">
        <v>271</v>
      </c>
      <c r="E741" s="21" t="s">
        <v>1020</v>
      </c>
      <c r="F741" s="21"/>
      <c r="G741" s="22">
        <v>1.0</v>
      </c>
      <c r="H741" s="22" t="s">
        <v>239</v>
      </c>
      <c r="I741" s="58">
        <v>37.5</v>
      </c>
      <c r="J741" s="58">
        <v>37.5</v>
      </c>
      <c r="K741" s="21" t="s">
        <v>1743</v>
      </c>
    </row>
    <row r="742" ht="21.75" customHeight="1">
      <c r="A742" s="20">
        <v>46141.0</v>
      </c>
      <c r="B742" s="21" t="s">
        <v>1745</v>
      </c>
      <c r="C742" s="21" t="s">
        <v>157</v>
      </c>
      <c r="D742" s="21" t="s">
        <v>349</v>
      </c>
      <c r="E742" s="21" t="s">
        <v>1746</v>
      </c>
      <c r="F742" s="21"/>
      <c r="G742" s="22">
        <v>1.0</v>
      </c>
      <c r="H742" s="22" t="s">
        <v>239</v>
      </c>
      <c r="I742" s="58">
        <v>19.99</v>
      </c>
      <c r="J742" s="58">
        <v>19.99</v>
      </c>
      <c r="K742" s="21" t="s">
        <v>1747</v>
      </c>
    </row>
    <row r="743" ht="21.75" customHeight="1">
      <c r="A743" s="20">
        <v>46141.0</v>
      </c>
      <c r="B743" s="21" t="s">
        <v>1745</v>
      </c>
      <c r="C743" s="21" t="s">
        <v>157</v>
      </c>
      <c r="D743" s="21" t="s">
        <v>349</v>
      </c>
      <c r="E743" s="21" t="s">
        <v>1748</v>
      </c>
      <c r="F743" s="21"/>
      <c r="G743" s="22">
        <v>2.0</v>
      </c>
      <c r="H743" s="22" t="s">
        <v>239</v>
      </c>
      <c r="I743" s="58">
        <v>12.74</v>
      </c>
      <c r="J743" s="58">
        <v>25.48</v>
      </c>
      <c r="K743" s="21" t="s">
        <v>1749</v>
      </c>
    </row>
    <row r="744" ht="21.75" customHeight="1">
      <c r="A744" s="20">
        <v>46141.0</v>
      </c>
      <c r="B744" s="21" t="s">
        <v>1751</v>
      </c>
      <c r="C744" s="21" t="s">
        <v>157</v>
      </c>
      <c r="D744" s="21" t="s">
        <v>349</v>
      </c>
      <c r="E744" s="21" t="s">
        <v>1752</v>
      </c>
      <c r="F744" s="21"/>
      <c r="G744" s="22">
        <v>1.0</v>
      </c>
      <c r="H744" s="22" t="s">
        <v>239</v>
      </c>
      <c r="I744" s="58">
        <v>59.95</v>
      </c>
      <c r="J744" s="58">
        <v>59.95</v>
      </c>
      <c r="K744" s="21" t="s">
        <v>1753</v>
      </c>
    </row>
    <row r="745" ht="21.75" customHeight="1">
      <c r="A745" s="20">
        <v>46141.0</v>
      </c>
      <c r="B745" s="21" t="s">
        <v>1754</v>
      </c>
      <c r="C745" s="21" t="s">
        <v>157</v>
      </c>
      <c r="D745" s="21" t="s">
        <v>349</v>
      </c>
      <c r="E745" s="21" t="s">
        <v>1755</v>
      </c>
      <c r="F745" s="21"/>
      <c r="G745" s="22">
        <v>2.0</v>
      </c>
      <c r="H745" s="22" t="s">
        <v>239</v>
      </c>
      <c r="I745" s="58">
        <v>71.5</v>
      </c>
      <c r="J745" s="58">
        <v>143.0</v>
      </c>
      <c r="K745" s="21" t="s">
        <v>1756</v>
      </c>
    </row>
    <row r="746" ht="21.75" customHeight="1">
      <c r="A746" s="20">
        <v>46141.0</v>
      </c>
      <c r="B746" s="21" t="s">
        <v>1754</v>
      </c>
      <c r="C746" s="21" t="s">
        <v>157</v>
      </c>
      <c r="D746" s="21" t="s">
        <v>226</v>
      </c>
      <c r="E746" s="21" t="s">
        <v>1138</v>
      </c>
      <c r="F746" s="21"/>
      <c r="G746" s="22">
        <v>2.0</v>
      </c>
      <c r="H746" s="22" t="s">
        <v>239</v>
      </c>
      <c r="I746" s="58">
        <v>13.7</v>
      </c>
      <c r="J746" s="58">
        <v>27.4</v>
      </c>
      <c r="K746" s="21" t="s">
        <v>1139</v>
      </c>
    </row>
    <row r="747" ht="21.75" customHeight="1">
      <c r="A747" s="20">
        <v>46141.0</v>
      </c>
      <c r="B747" s="21" t="s">
        <v>1757</v>
      </c>
      <c r="C747" s="21" t="s">
        <v>157</v>
      </c>
      <c r="D747" s="21" t="s">
        <v>349</v>
      </c>
      <c r="E747" s="21" t="s">
        <v>1758</v>
      </c>
      <c r="F747" s="21"/>
      <c r="G747" s="22">
        <v>2.0</v>
      </c>
      <c r="H747" s="22" t="s">
        <v>239</v>
      </c>
      <c r="I747" s="58">
        <v>5.99</v>
      </c>
      <c r="J747" s="58">
        <v>11.98</v>
      </c>
      <c r="K747" s="21" t="s">
        <v>1759</v>
      </c>
    </row>
    <row r="748" ht="21.75" customHeight="1">
      <c r="A748" s="20">
        <v>46141.0</v>
      </c>
      <c r="B748" s="21" t="s">
        <v>1757</v>
      </c>
      <c r="C748" s="21" t="s">
        <v>157</v>
      </c>
      <c r="D748" s="21" t="s">
        <v>349</v>
      </c>
      <c r="E748" s="21" t="s">
        <v>1758</v>
      </c>
      <c r="F748" s="21"/>
      <c r="G748" s="22">
        <v>1.0</v>
      </c>
      <c r="H748" s="22" t="s">
        <v>239</v>
      </c>
      <c r="I748" s="58">
        <v>5.99</v>
      </c>
      <c r="J748" s="58">
        <v>5.99</v>
      </c>
      <c r="K748" s="21" t="s">
        <v>1759</v>
      </c>
    </row>
    <row r="749" ht="21.75" customHeight="1">
      <c r="A749" s="20">
        <v>46141.0</v>
      </c>
      <c r="B749" s="21" t="s">
        <v>1760</v>
      </c>
      <c r="C749" s="21" t="s">
        <v>157</v>
      </c>
      <c r="D749" s="21" t="s">
        <v>429</v>
      </c>
      <c r="E749" s="21" t="s">
        <v>1087</v>
      </c>
      <c r="F749" s="21"/>
      <c r="G749" s="22">
        <v>1.0</v>
      </c>
      <c r="H749" s="22" t="s">
        <v>239</v>
      </c>
      <c r="I749" s="58">
        <v>26.99</v>
      </c>
      <c r="J749" s="58">
        <v>26.99</v>
      </c>
      <c r="K749" s="21" t="s">
        <v>1761</v>
      </c>
    </row>
    <row r="750" ht="21.75" customHeight="1">
      <c r="A750" s="20">
        <v>46141.0</v>
      </c>
      <c r="B750" s="21" t="s">
        <v>1760</v>
      </c>
      <c r="C750" s="21" t="s">
        <v>157</v>
      </c>
      <c r="D750" s="21" t="s">
        <v>271</v>
      </c>
      <c r="E750" s="21" t="s">
        <v>1762</v>
      </c>
      <c r="F750" s="21"/>
      <c r="G750" s="22">
        <v>1.0</v>
      </c>
      <c r="H750" s="22" t="s">
        <v>239</v>
      </c>
      <c r="I750" s="58">
        <v>7.59</v>
      </c>
      <c r="J750" s="58">
        <v>7.59</v>
      </c>
      <c r="K750" s="21" t="s">
        <v>1763</v>
      </c>
    </row>
    <row r="751" ht="21.75" customHeight="1">
      <c r="A751" s="20">
        <v>46141.0</v>
      </c>
      <c r="B751" s="21" t="s">
        <v>1760</v>
      </c>
      <c r="C751" s="21" t="s">
        <v>157</v>
      </c>
      <c r="D751" s="21" t="s">
        <v>349</v>
      </c>
      <c r="E751" s="21" t="s">
        <v>1048</v>
      </c>
      <c r="F751" s="21"/>
      <c r="G751" s="22">
        <v>1.0</v>
      </c>
      <c r="H751" s="22" t="s">
        <v>239</v>
      </c>
      <c r="I751" s="58">
        <v>9.49</v>
      </c>
      <c r="J751" s="58">
        <v>9.49</v>
      </c>
      <c r="K751" s="21" t="s">
        <v>1336</v>
      </c>
    </row>
    <row r="752" ht="21.75" customHeight="1">
      <c r="A752" s="20">
        <v>46141.0</v>
      </c>
      <c r="B752" s="21" t="s">
        <v>1764</v>
      </c>
      <c r="C752" s="21" t="s">
        <v>157</v>
      </c>
      <c r="D752" s="21" t="s">
        <v>226</v>
      </c>
      <c r="E752" s="21" t="s">
        <v>1765</v>
      </c>
      <c r="F752" s="21"/>
      <c r="G752" s="22">
        <v>1.0</v>
      </c>
      <c r="H752" s="22" t="s">
        <v>239</v>
      </c>
      <c r="I752" s="58">
        <v>12.24</v>
      </c>
      <c r="J752" s="58">
        <v>12.24</v>
      </c>
      <c r="K752" s="21" t="s">
        <v>1766</v>
      </c>
    </row>
    <row r="753" ht="21.75" customHeight="1">
      <c r="A753" s="20">
        <v>46141.0</v>
      </c>
      <c r="B753" s="21" t="s">
        <v>1764</v>
      </c>
      <c r="C753" s="21" t="s">
        <v>157</v>
      </c>
      <c r="D753" s="21" t="s">
        <v>271</v>
      </c>
      <c r="E753" s="21" t="s">
        <v>1767</v>
      </c>
      <c r="F753" s="21"/>
      <c r="G753" s="22">
        <v>1.0</v>
      </c>
      <c r="H753" s="22" t="s">
        <v>239</v>
      </c>
      <c r="I753" s="58">
        <v>14.99</v>
      </c>
      <c r="J753" s="58">
        <v>14.99</v>
      </c>
      <c r="K753" s="21" t="s">
        <v>1768</v>
      </c>
    </row>
    <row r="754" ht="21.75" customHeight="1">
      <c r="A754" s="20">
        <v>46146.0</v>
      </c>
      <c r="B754" s="21" t="s">
        <v>1770</v>
      </c>
      <c r="C754" s="21" t="s">
        <v>157</v>
      </c>
      <c r="D754" s="21" t="s">
        <v>226</v>
      </c>
      <c r="E754" s="21" t="s">
        <v>1771</v>
      </c>
      <c r="F754" s="21"/>
      <c r="G754" s="22">
        <v>1.0</v>
      </c>
      <c r="H754" s="22" t="s">
        <v>239</v>
      </c>
      <c r="I754" s="58">
        <v>76.49</v>
      </c>
      <c r="J754" s="58">
        <v>76.49</v>
      </c>
      <c r="K754" s="21" t="s">
        <v>1772</v>
      </c>
    </row>
    <row r="755" ht="21.75" customHeight="1">
      <c r="A755" s="20">
        <v>46146.0</v>
      </c>
      <c r="B755" s="21" t="s">
        <v>1773</v>
      </c>
      <c r="C755" s="21" t="s">
        <v>157</v>
      </c>
      <c r="D755" s="21" t="s">
        <v>349</v>
      </c>
      <c r="E755" s="21" t="s">
        <v>1258</v>
      </c>
      <c r="F755" s="21"/>
      <c r="G755" s="22">
        <v>1.0</v>
      </c>
      <c r="H755" s="22" t="s">
        <v>239</v>
      </c>
      <c r="I755" s="58">
        <v>35.99</v>
      </c>
      <c r="J755" s="58">
        <v>35.99</v>
      </c>
      <c r="K755" s="21" t="s">
        <v>1259</v>
      </c>
    </row>
    <row r="756" ht="21.75" customHeight="1">
      <c r="A756" s="20">
        <v>46146.0</v>
      </c>
      <c r="B756" s="21" t="s">
        <v>1773</v>
      </c>
      <c r="C756" s="21" t="s">
        <v>157</v>
      </c>
      <c r="D756" s="21" t="s">
        <v>349</v>
      </c>
      <c r="E756" s="21" t="s">
        <v>1775</v>
      </c>
      <c r="F756" s="21"/>
      <c r="G756" s="22">
        <v>2.0</v>
      </c>
      <c r="H756" s="22" t="s">
        <v>239</v>
      </c>
      <c r="I756" s="58">
        <v>9.99</v>
      </c>
      <c r="J756" s="58">
        <v>19.98</v>
      </c>
      <c r="K756" s="21" t="s">
        <v>1776</v>
      </c>
    </row>
    <row r="757" ht="21.75" customHeight="1">
      <c r="A757" s="20">
        <v>46147.0</v>
      </c>
      <c r="B757" s="21" t="s">
        <v>1777</v>
      </c>
      <c r="C757" s="21" t="s">
        <v>157</v>
      </c>
      <c r="D757" s="21" t="s">
        <v>989</v>
      </c>
      <c r="E757" s="21" t="s">
        <v>1493</v>
      </c>
      <c r="F757" s="21"/>
      <c r="G757" s="22">
        <v>1.0</v>
      </c>
      <c r="H757" s="22" t="s">
        <v>239</v>
      </c>
      <c r="I757" s="58">
        <v>30.65</v>
      </c>
      <c r="J757" s="58">
        <v>30.65</v>
      </c>
      <c r="K757" s="21" t="s">
        <v>1494</v>
      </c>
    </row>
    <row r="758" ht="21.75" customHeight="1">
      <c r="A758" s="20">
        <v>46147.0</v>
      </c>
      <c r="B758" s="21" t="s">
        <v>1778</v>
      </c>
      <c r="C758" s="21" t="s">
        <v>157</v>
      </c>
      <c r="D758" s="21" t="s">
        <v>349</v>
      </c>
      <c r="E758" s="21" t="s">
        <v>1779</v>
      </c>
      <c r="F758" s="21"/>
      <c r="G758" s="22">
        <v>1.0</v>
      </c>
      <c r="H758" s="22" t="s">
        <v>239</v>
      </c>
      <c r="I758" s="58">
        <v>16.79</v>
      </c>
      <c r="J758" s="58">
        <v>16.79</v>
      </c>
      <c r="K758" s="21" t="s">
        <v>1780</v>
      </c>
    </row>
    <row r="759" ht="21.75" customHeight="1">
      <c r="A759" s="20">
        <v>46147.0</v>
      </c>
      <c r="B759" s="21" t="s">
        <v>1778</v>
      </c>
      <c r="C759" s="21" t="s">
        <v>157</v>
      </c>
      <c r="D759" s="21" t="s">
        <v>175</v>
      </c>
      <c r="E759" s="21" t="s">
        <v>1781</v>
      </c>
      <c r="F759" s="21"/>
      <c r="G759" s="22">
        <v>2.0</v>
      </c>
      <c r="H759" s="22" t="s">
        <v>239</v>
      </c>
      <c r="I759" s="58">
        <v>9.29</v>
      </c>
      <c r="J759" s="58">
        <v>18.58</v>
      </c>
      <c r="K759" s="21" t="s">
        <v>1782</v>
      </c>
    </row>
    <row r="760" ht="21.75" customHeight="1">
      <c r="A760" s="20">
        <v>46147.0</v>
      </c>
      <c r="B760" s="21" t="s">
        <v>1783</v>
      </c>
      <c r="C760" s="21" t="s">
        <v>157</v>
      </c>
      <c r="D760" s="21" t="s">
        <v>349</v>
      </c>
      <c r="E760" s="21" t="s">
        <v>1784</v>
      </c>
      <c r="F760" s="21"/>
      <c r="G760" s="22">
        <v>2.0</v>
      </c>
      <c r="H760" s="22" t="s">
        <v>239</v>
      </c>
      <c r="I760" s="58">
        <v>40.36</v>
      </c>
      <c r="J760" s="58">
        <v>80.72</v>
      </c>
      <c r="K760" s="21" t="s">
        <v>1785</v>
      </c>
    </row>
    <row r="761" ht="21.75" customHeight="1">
      <c r="A761" s="20">
        <v>46147.0</v>
      </c>
      <c r="B761" s="21" t="s">
        <v>1786</v>
      </c>
      <c r="C761" s="21" t="s">
        <v>157</v>
      </c>
      <c r="D761" s="21" t="s">
        <v>349</v>
      </c>
      <c r="E761" s="21" t="s">
        <v>1650</v>
      </c>
      <c r="F761" s="21"/>
      <c r="G761" s="22">
        <v>6.0</v>
      </c>
      <c r="H761" s="22" t="s">
        <v>239</v>
      </c>
      <c r="I761" s="58">
        <v>16.99</v>
      </c>
      <c r="J761" s="58">
        <v>91.75</v>
      </c>
      <c r="K761" s="21" t="s">
        <v>1538</v>
      </c>
    </row>
    <row r="762" ht="21.75" customHeight="1">
      <c r="A762" s="20">
        <v>46147.0</v>
      </c>
      <c r="B762" s="21" t="s">
        <v>1787</v>
      </c>
      <c r="C762" s="21" t="s">
        <v>157</v>
      </c>
      <c r="D762" s="21" t="s">
        <v>349</v>
      </c>
      <c r="E762" s="21" t="s">
        <v>1650</v>
      </c>
      <c r="F762" s="21"/>
      <c r="G762" s="22">
        <v>2.0</v>
      </c>
      <c r="H762" s="22" t="s">
        <v>239</v>
      </c>
      <c r="I762" s="58">
        <v>16.99</v>
      </c>
      <c r="J762" s="58">
        <v>31.94</v>
      </c>
      <c r="K762" s="21" t="s">
        <v>1538</v>
      </c>
    </row>
    <row r="763" ht="21.75" customHeight="1">
      <c r="A763" s="20">
        <v>46148.0</v>
      </c>
      <c r="B763" s="21" t="s">
        <v>1788</v>
      </c>
      <c r="C763" s="21" t="s">
        <v>176</v>
      </c>
      <c r="D763" s="21" t="s">
        <v>175</v>
      </c>
      <c r="E763" s="21" t="s">
        <v>220</v>
      </c>
      <c r="F763" s="21" t="s">
        <v>513</v>
      </c>
      <c r="G763" s="22">
        <v>1.0</v>
      </c>
      <c r="H763" s="22" t="s">
        <v>177</v>
      </c>
      <c r="I763" s="58">
        <v>275.0</v>
      </c>
      <c r="J763" s="58">
        <f t="shared" ref="J763:J767" si="21">G763*I763</f>
        <v>275</v>
      </c>
      <c r="K763" s="21" t="s">
        <v>1103</v>
      </c>
    </row>
    <row r="764" ht="21.75" customHeight="1">
      <c r="A764" s="20">
        <v>46148.0</v>
      </c>
      <c r="B764" s="21" t="s">
        <v>1788</v>
      </c>
      <c r="C764" s="21" t="s">
        <v>176</v>
      </c>
      <c r="D764" s="21" t="s">
        <v>175</v>
      </c>
      <c r="E764" s="21" t="s">
        <v>1789</v>
      </c>
      <c r="F764" s="21" t="s">
        <v>1790</v>
      </c>
      <c r="G764" s="22">
        <v>1.0</v>
      </c>
      <c r="H764" s="22" t="s">
        <v>177</v>
      </c>
      <c r="I764" s="58">
        <v>595.0</v>
      </c>
      <c r="J764" s="58">
        <f t="shared" si="21"/>
        <v>595</v>
      </c>
      <c r="K764" s="21" t="s">
        <v>1791</v>
      </c>
    </row>
    <row r="765" ht="21.75" customHeight="1">
      <c r="A765" s="20">
        <v>46148.0</v>
      </c>
      <c r="B765" s="21" t="s">
        <v>1788</v>
      </c>
      <c r="C765" s="21" t="s">
        <v>176</v>
      </c>
      <c r="D765" s="21" t="s">
        <v>175</v>
      </c>
      <c r="E765" s="21" t="s">
        <v>334</v>
      </c>
      <c r="F765" s="21" t="s">
        <v>580</v>
      </c>
      <c r="G765" s="22">
        <v>1.0</v>
      </c>
      <c r="H765" s="22" t="s">
        <v>177</v>
      </c>
      <c r="I765" s="58">
        <v>32.0</v>
      </c>
      <c r="J765" s="58">
        <f t="shared" si="21"/>
        <v>32</v>
      </c>
      <c r="K765" s="21" t="s">
        <v>1792</v>
      </c>
    </row>
    <row r="766" ht="21.75" customHeight="1">
      <c r="A766" s="20">
        <v>46148.0</v>
      </c>
      <c r="B766" s="21" t="s">
        <v>1788</v>
      </c>
      <c r="C766" s="21" t="s">
        <v>176</v>
      </c>
      <c r="D766" s="21" t="s">
        <v>175</v>
      </c>
      <c r="E766" s="21" t="s">
        <v>320</v>
      </c>
      <c r="F766" s="21" t="s">
        <v>512</v>
      </c>
      <c r="G766" s="22">
        <v>1.0</v>
      </c>
      <c r="H766" s="22" t="s">
        <v>177</v>
      </c>
      <c r="I766" s="58">
        <v>18.0</v>
      </c>
      <c r="J766" s="58">
        <f t="shared" si="21"/>
        <v>18</v>
      </c>
      <c r="K766" s="21" t="s">
        <v>1135</v>
      </c>
    </row>
    <row r="767" ht="21.75" customHeight="1">
      <c r="A767" s="20">
        <v>46148.0</v>
      </c>
      <c r="B767" s="21" t="s">
        <v>1788</v>
      </c>
      <c r="C767" s="21" t="s">
        <v>176</v>
      </c>
      <c r="D767" s="21" t="s">
        <v>175</v>
      </c>
      <c r="E767" s="21" t="s">
        <v>509</v>
      </c>
      <c r="F767" s="21" t="s">
        <v>510</v>
      </c>
      <c r="G767" s="22">
        <v>1.0</v>
      </c>
      <c r="H767" s="22" t="s">
        <v>177</v>
      </c>
      <c r="I767" s="58">
        <v>18.0</v>
      </c>
      <c r="J767" s="58">
        <f t="shared" si="21"/>
        <v>18</v>
      </c>
      <c r="K767" s="21" t="s">
        <v>1358</v>
      </c>
    </row>
    <row r="768" ht="21.75" customHeight="1">
      <c r="A768" s="20">
        <v>46149.0</v>
      </c>
      <c r="B768" s="21" t="s">
        <v>1795</v>
      </c>
      <c r="C768" s="21" t="s">
        <v>157</v>
      </c>
      <c r="D768" s="21" t="s">
        <v>271</v>
      </c>
      <c r="E768" s="21" t="s">
        <v>1796</v>
      </c>
      <c r="F768" s="21"/>
      <c r="G768" s="22">
        <v>2.0</v>
      </c>
      <c r="H768" s="22" t="s">
        <v>239</v>
      </c>
      <c r="I768" s="58">
        <v>7.99</v>
      </c>
      <c r="J768" s="58">
        <v>15.98</v>
      </c>
      <c r="K768" s="21" t="s">
        <v>1797</v>
      </c>
    </row>
    <row r="769" ht="21.75" customHeight="1">
      <c r="A769" s="20">
        <v>46149.0</v>
      </c>
      <c r="B769" s="21" t="s">
        <v>1795</v>
      </c>
      <c r="C769" s="21" t="s">
        <v>157</v>
      </c>
      <c r="D769" s="21" t="s">
        <v>226</v>
      </c>
      <c r="E769" s="21" t="s">
        <v>1045</v>
      </c>
      <c r="F769" s="21"/>
      <c r="G769" s="22">
        <v>1.0</v>
      </c>
      <c r="H769" s="22" t="s">
        <v>239</v>
      </c>
      <c r="I769" s="58">
        <v>14.49</v>
      </c>
      <c r="J769" s="58">
        <v>14.49</v>
      </c>
      <c r="K769" s="21" t="s">
        <v>1190</v>
      </c>
    </row>
    <row r="770" ht="21.75" customHeight="1">
      <c r="A770" s="20">
        <v>46149.0</v>
      </c>
      <c r="B770" s="21" t="s">
        <v>1798</v>
      </c>
      <c r="C770" s="21" t="s">
        <v>157</v>
      </c>
      <c r="D770" s="21" t="s">
        <v>349</v>
      </c>
      <c r="E770" s="21" t="s">
        <v>1799</v>
      </c>
      <c r="F770" s="21"/>
      <c r="G770" s="22">
        <v>1.0</v>
      </c>
      <c r="H770" s="22" t="s">
        <v>239</v>
      </c>
      <c r="I770" s="58">
        <v>13.99</v>
      </c>
      <c r="J770" s="58">
        <v>13.99</v>
      </c>
      <c r="K770" s="21" t="s">
        <v>1302</v>
      </c>
    </row>
    <row r="771" ht="21.75" customHeight="1">
      <c r="A771" s="20">
        <v>46149.0</v>
      </c>
      <c r="B771" s="21" t="s">
        <v>1800</v>
      </c>
      <c r="C771" s="21" t="s">
        <v>157</v>
      </c>
      <c r="D771" s="21" t="s">
        <v>271</v>
      </c>
      <c r="E771" s="21" t="s">
        <v>1801</v>
      </c>
      <c r="F771" s="21"/>
      <c r="G771" s="22">
        <v>1.0</v>
      </c>
      <c r="H771" s="22" t="s">
        <v>239</v>
      </c>
      <c r="I771" s="58">
        <v>8.76</v>
      </c>
      <c r="J771" s="58">
        <v>8.76</v>
      </c>
      <c r="K771" s="21" t="s">
        <v>1802</v>
      </c>
    </row>
    <row r="772" ht="21.75" customHeight="1">
      <c r="A772" s="20">
        <v>46154.0</v>
      </c>
      <c r="B772" s="21" t="s">
        <v>1803</v>
      </c>
      <c r="C772" s="21" t="s">
        <v>157</v>
      </c>
      <c r="D772" s="21" t="s">
        <v>271</v>
      </c>
      <c r="E772" s="21" t="s">
        <v>1804</v>
      </c>
      <c r="F772" s="21"/>
      <c r="G772" s="22">
        <v>1.0</v>
      </c>
      <c r="H772" s="22" t="s">
        <v>239</v>
      </c>
      <c r="I772" s="58">
        <v>29.47</v>
      </c>
      <c r="J772" s="58">
        <v>29.47</v>
      </c>
      <c r="K772" s="21" t="s">
        <v>1147</v>
      </c>
    </row>
    <row r="773" ht="21.75" customHeight="1">
      <c r="A773" s="20">
        <v>46154.0</v>
      </c>
      <c r="B773" s="21" t="s">
        <v>1805</v>
      </c>
      <c r="C773" s="21" t="s">
        <v>157</v>
      </c>
      <c r="D773" s="21" t="s">
        <v>226</v>
      </c>
      <c r="E773" s="21" t="s">
        <v>1806</v>
      </c>
      <c r="F773" s="21"/>
      <c r="G773" s="22">
        <v>1.0</v>
      </c>
      <c r="H773" s="22" t="s">
        <v>239</v>
      </c>
      <c r="I773" s="58">
        <v>19.98</v>
      </c>
      <c r="J773" s="58">
        <v>19.98</v>
      </c>
      <c r="K773" s="21" t="s">
        <v>1807</v>
      </c>
    </row>
    <row r="774" ht="21.75" customHeight="1">
      <c r="A774" s="20">
        <v>46154.0</v>
      </c>
      <c r="B774" s="21" t="s">
        <v>1805</v>
      </c>
      <c r="C774" s="21" t="s">
        <v>157</v>
      </c>
      <c r="D774" s="21" t="s">
        <v>452</v>
      </c>
      <c r="E774" s="21" t="s">
        <v>1054</v>
      </c>
      <c r="F774" s="21"/>
      <c r="G774" s="22">
        <v>4.0</v>
      </c>
      <c r="H774" s="22" t="s">
        <v>239</v>
      </c>
      <c r="I774" s="58">
        <v>14.2</v>
      </c>
      <c r="J774" s="58">
        <v>56.8</v>
      </c>
      <c r="K774" s="21" t="s">
        <v>1207</v>
      </c>
    </row>
    <row r="775" ht="21.75" customHeight="1">
      <c r="A775" s="20">
        <v>46154.0</v>
      </c>
      <c r="B775" s="21" t="s">
        <v>1805</v>
      </c>
      <c r="C775" s="21" t="s">
        <v>157</v>
      </c>
      <c r="D775" s="21" t="s">
        <v>349</v>
      </c>
      <c r="E775" s="21" t="s">
        <v>1650</v>
      </c>
      <c r="F775" s="21"/>
      <c r="G775" s="22">
        <v>4.0</v>
      </c>
      <c r="H775" s="22" t="s">
        <v>239</v>
      </c>
      <c r="I775" s="58">
        <v>16.99</v>
      </c>
      <c r="J775" s="58">
        <v>62.52</v>
      </c>
      <c r="K775" s="21" t="s">
        <v>1538</v>
      </c>
    </row>
    <row r="776" ht="21.75" customHeight="1">
      <c r="A776" s="20">
        <v>46155.0</v>
      </c>
      <c r="B776" s="21" t="s">
        <v>1808</v>
      </c>
      <c r="C776" s="21" t="s">
        <v>157</v>
      </c>
      <c r="D776" s="21" t="s">
        <v>42</v>
      </c>
      <c r="E776" s="21" t="s">
        <v>1456</v>
      </c>
      <c r="F776" s="21"/>
      <c r="G776" s="22">
        <v>4.0</v>
      </c>
      <c r="H776" s="22" t="s">
        <v>239</v>
      </c>
      <c r="I776" s="58">
        <v>16.79</v>
      </c>
      <c r="J776" s="58">
        <v>63.8</v>
      </c>
      <c r="K776" s="21" t="s">
        <v>1809</v>
      </c>
    </row>
    <row r="777" ht="21.75" customHeight="1">
      <c r="A777" s="20">
        <v>46155.0</v>
      </c>
      <c r="B777" s="21" t="s">
        <v>1811</v>
      </c>
      <c r="C777" s="21" t="s">
        <v>157</v>
      </c>
      <c r="D777" s="21" t="s">
        <v>226</v>
      </c>
      <c r="E777" s="21" t="s">
        <v>1812</v>
      </c>
      <c r="F777" s="21"/>
      <c r="G777" s="22">
        <v>9.0</v>
      </c>
      <c r="H777" s="22" t="s">
        <v>239</v>
      </c>
      <c r="I777" s="58">
        <v>72.2</v>
      </c>
      <c r="J777" s="58">
        <v>649.8</v>
      </c>
      <c r="K777" s="21" t="s">
        <v>1813</v>
      </c>
    </row>
    <row r="778" ht="21.75" customHeight="1">
      <c r="A778" s="20">
        <v>46156.0</v>
      </c>
      <c r="B778" s="21" t="s">
        <v>1814</v>
      </c>
      <c r="C778" s="21" t="s">
        <v>157</v>
      </c>
      <c r="D778" s="21" t="s">
        <v>226</v>
      </c>
      <c r="E778" s="21" t="s">
        <v>1718</v>
      </c>
      <c r="F778" s="21"/>
      <c r="G778" s="22">
        <v>2.0</v>
      </c>
      <c r="H778" s="22" t="s">
        <v>239</v>
      </c>
      <c r="I778" s="58">
        <v>46.0</v>
      </c>
      <c r="J778" s="58">
        <v>92.0</v>
      </c>
      <c r="K778" s="21" t="s">
        <v>1719</v>
      </c>
    </row>
    <row r="779" ht="21.75" customHeight="1">
      <c r="A779" s="20">
        <v>46156.0</v>
      </c>
      <c r="B779" s="21" t="s">
        <v>1816</v>
      </c>
      <c r="C779" s="21" t="s">
        <v>157</v>
      </c>
      <c r="D779" s="21" t="s">
        <v>226</v>
      </c>
      <c r="E779" s="21" t="s">
        <v>1817</v>
      </c>
      <c r="F779" s="21"/>
      <c r="G779" s="22">
        <v>1.0</v>
      </c>
      <c r="H779" s="22" t="s">
        <v>239</v>
      </c>
      <c r="I779" s="58">
        <v>29.99</v>
      </c>
      <c r="J779" s="58">
        <v>29.99</v>
      </c>
      <c r="K779" s="21" t="s">
        <v>1818</v>
      </c>
    </row>
    <row r="780" ht="21.75" customHeight="1">
      <c r="A780" s="20">
        <v>46161.0</v>
      </c>
      <c r="B780" s="21" t="s">
        <v>1819</v>
      </c>
      <c r="C780" s="21" t="s">
        <v>157</v>
      </c>
      <c r="D780" s="21" t="s">
        <v>42</v>
      </c>
      <c r="E780" s="21" t="s">
        <v>1162</v>
      </c>
      <c r="F780" s="21"/>
      <c r="G780" s="22">
        <v>2.0</v>
      </c>
      <c r="H780" s="22" t="s">
        <v>239</v>
      </c>
      <c r="I780" s="58">
        <v>92.58</v>
      </c>
      <c r="J780" s="58">
        <v>185.16</v>
      </c>
      <c r="K780" s="21" t="s">
        <v>1163</v>
      </c>
    </row>
    <row r="781" ht="21.75" customHeight="1">
      <c r="A781" s="20">
        <v>46161.0</v>
      </c>
      <c r="B781" s="21" t="s">
        <v>1820</v>
      </c>
      <c r="C781" s="21" t="s">
        <v>157</v>
      </c>
      <c r="D781" s="21" t="s">
        <v>349</v>
      </c>
      <c r="E781" s="21" t="s">
        <v>1784</v>
      </c>
      <c r="F781" s="21"/>
      <c r="G781" s="22">
        <v>1.0</v>
      </c>
      <c r="H781" s="22" t="s">
        <v>239</v>
      </c>
      <c r="I781" s="58">
        <v>40.36</v>
      </c>
      <c r="J781" s="58">
        <v>40.36</v>
      </c>
      <c r="K781" s="21" t="s">
        <v>1785</v>
      </c>
    </row>
    <row r="782" ht="21.75" customHeight="1">
      <c r="A782" s="20">
        <v>46162.0</v>
      </c>
      <c r="B782" s="21" t="s">
        <v>1821</v>
      </c>
      <c r="C782" s="21" t="s">
        <v>176</v>
      </c>
      <c r="D782" s="21" t="s">
        <v>175</v>
      </c>
      <c r="E782" s="21" t="s">
        <v>203</v>
      </c>
      <c r="F782" s="21" t="s">
        <v>1727</v>
      </c>
      <c r="G782" s="22">
        <v>1.0</v>
      </c>
      <c r="H782" s="22" t="s">
        <v>177</v>
      </c>
      <c r="I782" s="58">
        <v>17.0</v>
      </c>
      <c r="J782" s="58">
        <f t="shared" ref="J782:J787" si="22">G782*I782</f>
        <v>17</v>
      </c>
      <c r="K782" s="21" t="s">
        <v>1454</v>
      </c>
    </row>
    <row r="783" ht="21.75" customHeight="1">
      <c r="A783" s="20">
        <v>46162.0</v>
      </c>
      <c r="B783" s="21" t="s">
        <v>1821</v>
      </c>
      <c r="C783" s="21" t="s">
        <v>176</v>
      </c>
      <c r="D783" s="21" t="s">
        <v>175</v>
      </c>
      <c r="E783" s="21" t="s">
        <v>1449</v>
      </c>
      <c r="F783" s="21" t="s">
        <v>1453</v>
      </c>
      <c r="G783" s="22">
        <v>1.0</v>
      </c>
      <c r="H783" s="22" t="s">
        <v>177</v>
      </c>
      <c r="I783" s="58">
        <v>65.0</v>
      </c>
      <c r="J783" s="58">
        <f t="shared" si="22"/>
        <v>65</v>
      </c>
      <c r="K783" s="21" t="s">
        <v>1335</v>
      </c>
    </row>
    <row r="784" ht="21.75" customHeight="1">
      <c r="A784" s="20">
        <v>46162.0</v>
      </c>
      <c r="B784" s="21" t="s">
        <v>1821</v>
      </c>
      <c r="C784" s="21" t="s">
        <v>176</v>
      </c>
      <c r="D784" s="21" t="s">
        <v>175</v>
      </c>
      <c r="E784" s="21" t="s">
        <v>1822</v>
      </c>
      <c r="F784" s="21" t="s">
        <v>1823</v>
      </c>
      <c r="G784" s="22">
        <v>1.0</v>
      </c>
      <c r="H784" s="22" t="s">
        <v>177</v>
      </c>
      <c r="I784" s="58">
        <v>78.75</v>
      </c>
      <c r="J784" s="58">
        <f t="shared" si="22"/>
        <v>78.75</v>
      </c>
      <c r="K784" s="21" t="s">
        <v>1173</v>
      </c>
    </row>
    <row r="785" ht="21.75" customHeight="1">
      <c r="A785" s="20">
        <v>46162.0</v>
      </c>
      <c r="B785" s="21" t="s">
        <v>1821</v>
      </c>
      <c r="C785" s="21" t="s">
        <v>176</v>
      </c>
      <c r="D785" s="21" t="s">
        <v>175</v>
      </c>
      <c r="E785" s="21" t="s">
        <v>968</v>
      </c>
      <c r="F785" s="21" t="s">
        <v>1324</v>
      </c>
      <c r="G785" s="22">
        <v>1.0</v>
      </c>
      <c r="H785" s="22" t="s">
        <v>177</v>
      </c>
      <c r="I785" s="58">
        <v>11.8</v>
      </c>
      <c r="J785" s="58">
        <f t="shared" si="22"/>
        <v>11.8</v>
      </c>
      <c r="K785" s="21" t="s">
        <v>1173</v>
      </c>
    </row>
    <row r="786" ht="21.75" customHeight="1">
      <c r="A786" s="20">
        <v>46162.0</v>
      </c>
      <c r="B786" s="21" t="s">
        <v>1821</v>
      </c>
      <c r="C786" s="21" t="s">
        <v>176</v>
      </c>
      <c r="D786" s="21" t="s">
        <v>175</v>
      </c>
      <c r="E786" s="21" t="s">
        <v>967</v>
      </c>
      <c r="F786" s="21" t="s">
        <v>1394</v>
      </c>
      <c r="G786" s="22">
        <v>1.0</v>
      </c>
      <c r="H786" s="22" t="s">
        <v>177</v>
      </c>
      <c r="I786" s="58">
        <v>11.5</v>
      </c>
      <c r="J786" s="58">
        <f t="shared" si="22"/>
        <v>11.5</v>
      </c>
      <c r="K786" s="21" t="s">
        <v>1173</v>
      </c>
    </row>
    <row r="787" ht="21.75" customHeight="1">
      <c r="A787" s="20">
        <v>46162.0</v>
      </c>
      <c r="B787" s="21" t="s">
        <v>1821</v>
      </c>
      <c r="C787" s="21" t="s">
        <v>176</v>
      </c>
      <c r="D787" s="21" t="s">
        <v>175</v>
      </c>
      <c r="E787" s="21" t="s">
        <v>1613</v>
      </c>
      <c r="F787" s="21" t="s">
        <v>1825</v>
      </c>
      <c r="G787" s="22">
        <v>1.0</v>
      </c>
      <c r="H787" s="22" t="s">
        <v>177</v>
      </c>
      <c r="I787" s="58">
        <v>29.75</v>
      </c>
      <c r="J787" s="58">
        <f t="shared" si="22"/>
        <v>29.75</v>
      </c>
      <c r="K787" s="21" t="s">
        <v>1173</v>
      </c>
    </row>
    <row r="788" ht="21.75" customHeight="1">
      <c r="A788" s="20">
        <v>46162.0</v>
      </c>
      <c r="B788" s="21" t="s">
        <v>1826</v>
      </c>
      <c r="C788" s="21" t="s">
        <v>157</v>
      </c>
      <c r="D788" s="21" t="s">
        <v>226</v>
      </c>
      <c r="E788" s="21" t="s">
        <v>1718</v>
      </c>
      <c r="F788" s="21"/>
      <c r="G788" s="22">
        <v>1.0</v>
      </c>
      <c r="H788" s="22" t="s">
        <v>239</v>
      </c>
      <c r="I788" s="58">
        <v>55.46</v>
      </c>
      <c r="J788" s="58">
        <v>55.46</v>
      </c>
      <c r="K788" s="21" t="s">
        <v>1828</v>
      </c>
    </row>
    <row r="789" ht="21.75" customHeight="1">
      <c r="A789" s="20">
        <v>46162.0</v>
      </c>
      <c r="B789" s="21" t="s">
        <v>1826</v>
      </c>
      <c r="C789" s="21" t="s">
        <v>157</v>
      </c>
      <c r="D789" s="21" t="s">
        <v>226</v>
      </c>
      <c r="E789" s="21" t="s">
        <v>1022</v>
      </c>
      <c r="F789" s="21"/>
      <c r="G789" s="22">
        <v>1.0</v>
      </c>
      <c r="H789" s="22" t="s">
        <v>239</v>
      </c>
      <c r="I789" s="58">
        <v>150.88</v>
      </c>
      <c r="J789" s="58">
        <v>150.88</v>
      </c>
      <c r="K789" s="21" t="s">
        <v>1358</v>
      </c>
    </row>
    <row r="790" ht="21.75" customHeight="1">
      <c r="A790" s="20">
        <v>46162.0</v>
      </c>
      <c r="B790" s="21" t="s">
        <v>1826</v>
      </c>
      <c r="C790" s="21" t="s">
        <v>157</v>
      </c>
      <c r="D790" s="21" t="s">
        <v>226</v>
      </c>
      <c r="E790" s="21" t="s">
        <v>1022</v>
      </c>
      <c r="F790" s="21"/>
      <c r="G790" s="22">
        <v>1.0</v>
      </c>
      <c r="H790" s="22" t="s">
        <v>239</v>
      </c>
      <c r="I790" s="58">
        <v>150.88</v>
      </c>
      <c r="J790" s="58">
        <v>150.88</v>
      </c>
      <c r="K790" s="21" t="s">
        <v>1358</v>
      </c>
    </row>
    <row r="791" ht="21.75" customHeight="1">
      <c r="A791" s="20">
        <v>46162.0</v>
      </c>
      <c r="B791" s="21" t="s">
        <v>1829</v>
      </c>
      <c r="C791" s="21" t="s">
        <v>157</v>
      </c>
      <c r="D791" s="21" t="s">
        <v>271</v>
      </c>
      <c r="E791" s="21" t="s">
        <v>1830</v>
      </c>
      <c r="F791" s="21"/>
      <c r="G791" s="22">
        <v>1.0</v>
      </c>
      <c r="H791" s="22" t="s">
        <v>239</v>
      </c>
      <c r="I791" s="58">
        <v>34.0</v>
      </c>
      <c r="J791" s="58">
        <v>34.0</v>
      </c>
      <c r="K791" s="21" t="s">
        <v>1451</v>
      </c>
    </row>
    <row r="792" ht="21.75" customHeight="1">
      <c r="A792" s="20">
        <v>46162.0</v>
      </c>
      <c r="B792" s="21" t="s">
        <v>1831</v>
      </c>
      <c r="C792" s="21" t="s">
        <v>157</v>
      </c>
      <c r="D792" s="21" t="s">
        <v>42</v>
      </c>
      <c r="E792" s="21" t="s">
        <v>330</v>
      </c>
      <c r="F792" s="21"/>
      <c r="G792" s="22">
        <v>1.0</v>
      </c>
      <c r="H792" s="22" t="s">
        <v>239</v>
      </c>
      <c r="I792" s="58">
        <v>13.11</v>
      </c>
      <c r="J792" s="58">
        <v>13.11</v>
      </c>
      <c r="K792" s="21" t="s">
        <v>1707</v>
      </c>
    </row>
    <row r="793" ht="21.75" customHeight="1">
      <c r="A793" s="20">
        <v>46162.0</v>
      </c>
      <c r="B793" s="21" t="s">
        <v>1831</v>
      </c>
      <c r="C793" s="21" t="s">
        <v>157</v>
      </c>
      <c r="D793" s="21" t="s">
        <v>42</v>
      </c>
      <c r="E793" s="21" t="s">
        <v>330</v>
      </c>
      <c r="F793" s="21"/>
      <c r="G793" s="22">
        <v>2.0</v>
      </c>
      <c r="H793" s="22" t="s">
        <v>239</v>
      </c>
      <c r="I793" s="58">
        <v>13.11</v>
      </c>
      <c r="J793" s="58">
        <v>26.22</v>
      </c>
      <c r="K793" s="21" t="s">
        <v>1707</v>
      </c>
    </row>
    <row r="794" ht="21.75" customHeight="1">
      <c r="A794" s="20">
        <v>46163.0</v>
      </c>
      <c r="B794" s="21" t="s">
        <v>1832</v>
      </c>
      <c r="C794" s="21" t="s">
        <v>176</v>
      </c>
      <c r="D794" s="21" t="s">
        <v>175</v>
      </c>
      <c r="E794" s="21" t="s">
        <v>1833</v>
      </c>
      <c r="F794" s="21" t="s">
        <v>1834</v>
      </c>
      <c r="G794" s="22">
        <v>1.0</v>
      </c>
      <c r="H794" s="22" t="s">
        <v>177</v>
      </c>
      <c r="I794" s="58">
        <v>450.0</v>
      </c>
      <c r="J794" s="58">
        <f>G794*I794</f>
        <v>450</v>
      </c>
      <c r="K794" s="21" t="s">
        <v>1835</v>
      </c>
    </row>
    <row r="795" ht="21.75" customHeight="1">
      <c r="A795" s="20">
        <v>46163.0</v>
      </c>
      <c r="B795" s="21" t="s">
        <v>1836</v>
      </c>
      <c r="C795" s="21" t="s">
        <v>157</v>
      </c>
      <c r="D795" s="21" t="s">
        <v>271</v>
      </c>
      <c r="E795" s="21" t="s">
        <v>1837</v>
      </c>
      <c r="F795" s="21"/>
      <c r="G795" s="22">
        <v>1.0</v>
      </c>
      <c r="H795" s="22" t="s">
        <v>239</v>
      </c>
      <c r="I795" s="58">
        <v>15.99</v>
      </c>
      <c r="J795" s="58">
        <v>15.99</v>
      </c>
      <c r="K795" s="21" t="s">
        <v>1838</v>
      </c>
    </row>
    <row r="796" ht="21.75" customHeight="1">
      <c r="A796" s="20">
        <v>46163.0</v>
      </c>
      <c r="B796" s="21" t="s">
        <v>1836</v>
      </c>
      <c r="C796" s="21" t="s">
        <v>157</v>
      </c>
      <c r="D796" s="21" t="s">
        <v>349</v>
      </c>
      <c r="E796" s="21" t="s">
        <v>1839</v>
      </c>
      <c r="F796" s="21"/>
      <c r="G796" s="22">
        <v>1.0</v>
      </c>
      <c r="H796" s="22" t="s">
        <v>239</v>
      </c>
      <c r="I796" s="58">
        <v>18.04</v>
      </c>
      <c r="J796" s="58">
        <v>18.04</v>
      </c>
      <c r="K796" s="21" t="s">
        <v>1840</v>
      </c>
    </row>
    <row r="797" ht="21.75" customHeight="1">
      <c r="A797" s="20">
        <v>46163.0</v>
      </c>
      <c r="B797" s="21" t="s">
        <v>1836</v>
      </c>
      <c r="C797" s="21" t="s">
        <v>157</v>
      </c>
      <c r="D797" s="21" t="s">
        <v>271</v>
      </c>
      <c r="E797" s="21" t="s">
        <v>1841</v>
      </c>
      <c r="F797" s="21"/>
      <c r="G797" s="22">
        <v>2.0</v>
      </c>
      <c r="H797" s="22" t="s">
        <v>239</v>
      </c>
      <c r="I797" s="58">
        <v>7.59</v>
      </c>
      <c r="J797" s="58">
        <v>15.18</v>
      </c>
      <c r="K797" s="21" t="s">
        <v>1843</v>
      </c>
    </row>
    <row r="798" ht="21.75" customHeight="1">
      <c r="A798" s="20">
        <v>46168.0</v>
      </c>
      <c r="B798" s="21" t="s">
        <v>1844</v>
      </c>
      <c r="C798" s="21" t="s">
        <v>157</v>
      </c>
      <c r="D798" s="21" t="s">
        <v>42</v>
      </c>
      <c r="E798" s="21" t="s">
        <v>1845</v>
      </c>
      <c r="F798" s="21"/>
      <c r="G798" s="22">
        <v>1.0</v>
      </c>
      <c r="H798" s="22" t="s">
        <v>239</v>
      </c>
      <c r="I798" s="58">
        <v>21.38</v>
      </c>
      <c r="J798" s="58">
        <v>21.38</v>
      </c>
      <c r="K798" s="21" t="s">
        <v>1846</v>
      </c>
    </row>
    <row r="799" ht="21.75" customHeight="1">
      <c r="A799" s="20">
        <v>46168.0</v>
      </c>
      <c r="B799" s="21" t="s">
        <v>1847</v>
      </c>
      <c r="C799" s="21" t="s">
        <v>157</v>
      </c>
      <c r="D799" s="21" t="s">
        <v>42</v>
      </c>
      <c r="E799" s="21" t="s">
        <v>1848</v>
      </c>
      <c r="F799" s="21"/>
      <c r="G799" s="22">
        <v>1.0</v>
      </c>
      <c r="H799" s="22" t="s">
        <v>239</v>
      </c>
      <c r="I799" s="58">
        <v>199.0</v>
      </c>
      <c r="J799" s="58">
        <v>199.0</v>
      </c>
      <c r="K799" s="21" t="s">
        <v>1850</v>
      </c>
    </row>
    <row r="800" ht="21.75" customHeight="1">
      <c r="A800" s="20">
        <v>46170.0</v>
      </c>
      <c r="B800" s="21" t="s">
        <v>1851</v>
      </c>
      <c r="C800" s="21" t="s">
        <v>307</v>
      </c>
      <c r="D800" s="21" t="s">
        <v>42</v>
      </c>
      <c r="E800" s="21" t="s">
        <v>309</v>
      </c>
      <c r="F800" s="21" t="s">
        <v>596</v>
      </c>
      <c r="G800" s="22">
        <v>2000.0</v>
      </c>
      <c r="H800" s="22" t="s">
        <v>73</v>
      </c>
      <c r="I800" s="58">
        <v>0.159</v>
      </c>
      <c r="J800" s="58">
        <v>318.0</v>
      </c>
      <c r="K800" s="21" t="s">
        <v>1852</v>
      </c>
    </row>
    <row r="801" ht="21.75" customHeight="1">
      <c r="A801" s="20">
        <v>46170.0</v>
      </c>
      <c r="B801" s="21" t="s">
        <v>1851</v>
      </c>
      <c r="C801" s="21" t="s">
        <v>307</v>
      </c>
      <c r="D801" s="21" t="s">
        <v>42</v>
      </c>
      <c r="E801" s="21" t="s">
        <v>317</v>
      </c>
      <c r="F801" s="21" t="s">
        <v>602</v>
      </c>
      <c r="G801" s="22">
        <v>1.0</v>
      </c>
      <c r="H801" s="22" t="s">
        <v>73</v>
      </c>
      <c r="I801" s="58">
        <v>105.88</v>
      </c>
      <c r="J801" s="58">
        <v>105.88</v>
      </c>
      <c r="K801" s="21" t="s">
        <v>1761</v>
      </c>
    </row>
    <row r="802" ht="21.75" customHeight="1">
      <c r="A802" s="20">
        <v>46170.0</v>
      </c>
      <c r="B802" s="21" t="s">
        <v>1853</v>
      </c>
      <c r="C802" s="21" t="s">
        <v>157</v>
      </c>
      <c r="D802" s="21" t="s">
        <v>271</v>
      </c>
      <c r="E802" s="21" t="s">
        <v>1499</v>
      </c>
      <c r="F802" s="21"/>
      <c r="G802" s="22">
        <v>2.0</v>
      </c>
      <c r="H802" s="22" t="s">
        <v>239</v>
      </c>
      <c r="I802" s="58">
        <v>32.32</v>
      </c>
      <c r="J802" s="58">
        <v>64.64</v>
      </c>
      <c r="K802" s="21" t="s">
        <v>1854</v>
      </c>
    </row>
    <row r="803" ht="21.75" customHeight="1">
      <c r="A803" s="20">
        <v>46170.0</v>
      </c>
      <c r="B803" s="21" t="s">
        <v>1855</v>
      </c>
      <c r="C803" s="21" t="s">
        <v>157</v>
      </c>
      <c r="D803" s="21" t="s">
        <v>271</v>
      </c>
      <c r="E803" s="21" t="s">
        <v>1164</v>
      </c>
      <c r="F803" s="21"/>
      <c r="G803" s="22">
        <v>2.0</v>
      </c>
      <c r="H803" s="22" t="s">
        <v>239</v>
      </c>
      <c r="I803" s="58">
        <v>44.99</v>
      </c>
      <c r="J803" s="58">
        <v>89.98</v>
      </c>
      <c r="K803" s="21" t="s">
        <v>1165</v>
      </c>
    </row>
    <row r="804" ht="21.75" customHeight="1">
      <c r="A804" s="20">
        <v>46176.0</v>
      </c>
      <c r="B804" s="21" t="s">
        <v>1856</v>
      </c>
      <c r="C804" s="21" t="s">
        <v>176</v>
      </c>
      <c r="D804" s="21" t="s">
        <v>175</v>
      </c>
      <c r="E804" s="21" t="s">
        <v>220</v>
      </c>
      <c r="F804" s="21" t="s">
        <v>513</v>
      </c>
      <c r="G804" s="22">
        <v>2.0</v>
      </c>
      <c r="H804" s="22" t="s">
        <v>177</v>
      </c>
      <c r="I804" s="58">
        <v>275.0</v>
      </c>
      <c r="J804" s="58">
        <f t="shared" ref="J804:J805" si="23">G804*I804</f>
        <v>550</v>
      </c>
      <c r="K804" s="21" t="s">
        <v>1857</v>
      </c>
    </row>
    <row r="805" ht="21.75" customHeight="1">
      <c r="A805" s="20">
        <v>46176.0</v>
      </c>
      <c r="B805" s="21" t="s">
        <v>1856</v>
      </c>
      <c r="C805" s="21" t="s">
        <v>176</v>
      </c>
      <c r="D805" s="21" t="s">
        <v>175</v>
      </c>
      <c r="E805" s="21" t="s">
        <v>1858</v>
      </c>
      <c r="F805" s="21" t="s">
        <v>1859</v>
      </c>
      <c r="G805" s="22">
        <v>1.0</v>
      </c>
      <c r="H805" s="22" t="s">
        <v>177</v>
      </c>
      <c r="I805" s="58">
        <v>869.79</v>
      </c>
      <c r="J805" s="58">
        <f t="shared" si="23"/>
        <v>869.79</v>
      </c>
      <c r="K805" s="21"/>
    </row>
    <row r="806" ht="21.75" customHeight="1">
      <c r="A806" s="20">
        <v>46176.0</v>
      </c>
      <c r="B806" s="21" t="s">
        <v>1860</v>
      </c>
      <c r="C806" s="21" t="s">
        <v>157</v>
      </c>
      <c r="D806" s="21" t="s">
        <v>349</v>
      </c>
      <c r="E806" s="21" t="s">
        <v>1752</v>
      </c>
      <c r="F806" s="21"/>
      <c r="G806" s="22">
        <v>2.0</v>
      </c>
      <c r="H806" s="22" t="s">
        <v>239</v>
      </c>
      <c r="I806" s="58">
        <v>59.95</v>
      </c>
      <c r="J806" s="58">
        <v>119.9</v>
      </c>
      <c r="K806" s="21" t="s">
        <v>1753</v>
      </c>
    </row>
    <row r="807" ht="21.75" customHeight="1">
      <c r="A807" s="20">
        <v>46176.0</v>
      </c>
      <c r="B807" s="21" t="s">
        <v>1861</v>
      </c>
      <c r="C807" s="21" t="s">
        <v>157</v>
      </c>
      <c r="D807" s="21" t="s">
        <v>271</v>
      </c>
      <c r="E807" s="21" t="s">
        <v>1862</v>
      </c>
      <c r="F807" s="21"/>
      <c r="G807" s="22">
        <v>1.0</v>
      </c>
      <c r="H807" s="22" t="s">
        <v>239</v>
      </c>
      <c r="I807" s="58">
        <v>123.49</v>
      </c>
      <c r="J807" s="58">
        <v>113.49</v>
      </c>
      <c r="K807" s="21" t="s">
        <v>1864</v>
      </c>
    </row>
    <row r="808" ht="21.75" customHeight="1">
      <c r="A808" s="20">
        <v>46176.0</v>
      </c>
      <c r="B808" s="21" t="s">
        <v>1861</v>
      </c>
      <c r="C808" s="21" t="s">
        <v>157</v>
      </c>
      <c r="D808" s="21" t="s">
        <v>226</v>
      </c>
      <c r="E808" s="21" t="s">
        <v>1045</v>
      </c>
      <c r="F808" s="21"/>
      <c r="G808" s="22">
        <v>1.0</v>
      </c>
      <c r="H808" s="22" t="s">
        <v>239</v>
      </c>
      <c r="I808" s="58">
        <v>14.3</v>
      </c>
      <c r="J808" s="58">
        <v>14.3</v>
      </c>
      <c r="K808" s="21" t="s">
        <v>1867</v>
      </c>
    </row>
    <row r="809" ht="21.75" customHeight="1">
      <c r="A809" s="20">
        <v>46176.0</v>
      </c>
      <c r="B809" s="21" t="s">
        <v>1861</v>
      </c>
      <c r="C809" s="21" t="s">
        <v>157</v>
      </c>
      <c r="D809" s="21" t="s">
        <v>42</v>
      </c>
      <c r="E809" s="21" t="s">
        <v>1868</v>
      </c>
      <c r="F809" s="21"/>
      <c r="G809" s="22">
        <v>1.0</v>
      </c>
      <c r="H809" s="22" t="s">
        <v>239</v>
      </c>
      <c r="I809" s="58">
        <v>9.99</v>
      </c>
      <c r="J809" s="58">
        <v>9.99</v>
      </c>
      <c r="K809" s="21" t="s">
        <v>1869</v>
      </c>
    </row>
    <row r="810" ht="21.75" customHeight="1">
      <c r="A810" s="20">
        <v>46181.0</v>
      </c>
      <c r="B810" s="21" t="s">
        <v>1870</v>
      </c>
      <c r="C810" s="21" t="s">
        <v>176</v>
      </c>
      <c r="D810" s="21" t="s">
        <v>175</v>
      </c>
      <c r="E810" s="21" t="s">
        <v>1871</v>
      </c>
      <c r="F810" s="21" t="s">
        <v>1872</v>
      </c>
      <c r="G810" s="22">
        <v>2.0</v>
      </c>
      <c r="H810" s="22" t="s">
        <v>177</v>
      </c>
      <c r="I810" s="58">
        <v>45.99</v>
      </c>
      <c r="J810" s="58">
        <f t="shared" ref="J810:J811" si="24">G810*I810</f>
        <v>91.98</v>
      </c>
      <c r="K810" s="21"/>
    </row>
    <row r="811" ht="21.75" customHeight="1">
      <c r="A811" s="20">
        <v>46181.0</v>
      </c>
      <c r="B811" s="21" t="s">
        <v>1870</v>
      </c>
      <c r="C811" s="21" t="s">
        <v>176</v>
      </c>
      <c r="D811" s="21" t="s">
        <v>175</v>
      </c>
      <c r="E811" s="21" t="s">
        <v>287</v>
      </c>
      <c r="F811" s="21" t="s">
        <v>1188</v>
      </c>
      <c r="G811" s="22">
        <v>2.0</v>
      </c>
      <c r="H811" s="22" t="s">
        <v>177</v>
      </c>
      <c r="I811" s="58">
        <v>8.5</v>
      </c>
      <c r="J811" s="58">
        <f t="shared" si="24"/>
        <v>17</v>
      </c>
      <c r="K811" s="21"/>
    </row>
    <row r="812" ht="21.75" customHeight="1">
      <c r="A812" s="20">
        <v>46181.0</v>
      </c>
      <c r="B812" s="21" t="s">
        <v>1873</v>
      </c>
      <c r="C812" s="21" t="s">
        <v>157</v>
      </c>
      <c r="D812" s="21" t="s">
        <v>226</v>
      </c>
      <c r="E812" s="21" t="s">
        <v>1874</v>
      </c>
      <c r="F812" s="21"/>
      <c r="G812" s="22">
        <v>1.0</v>
      </c>
      <c r="H812" s="22" t="s">
        <v>239</v>
      </c>
      <c r="I812" s="58">
        <v>115.64</v>
      </c>
      <c r="J812" s="58">
        <v>115.64</v>
      </c>
      <c r="K812" s="21" t="s">
        <v>1875</v>
      </c>
    </row>
    <row r="813" ht="21.75" customHeight="1">
      <c r="A813" s="20">
        <v>46181.0</v>
      </c>
      <c r="B813" s="21" t="s">
        <v>1876</v>
      </c>
      <c r="C813" s="21" t="s">
        <v>157</v>
      </c>
      <c r="D813" s="21" t="s">
        <v>42</v>
      </c>
      <c r="E813" s="21" t="s">
        <v>1848</v>
      </c>
      <c r="F813" s="21"/>
      <c r="G813" s="22">
        <v>1.0</v>
      </c>
      <c r="H813" s="22" t="s">
        <v>239</v>
      </c>
      <c r="I813" s="58">
        <v>199.0</v>
      </c>
      <c r="J813" s="58">
        <v>199.0</v>
      </c>
      <c r="K813" s="21" t="s">
        <v>1850</v>
      </c>
    </row>
    <row r="814" ht="21.75" customHeight="1">
      <c r="A814" s="20">
        <v>46181.0</v>
      </c>
      <c r="B814" s="21" t="s">
        <v>1876</v>
      </c>
      <c r="C814" s="21" t="s">
        <v>157</v>
      </c>
      <c r="D814" s="21" t="s">
        <v>271</v>
      </c>
      <c r="E814" s="21" t="s">
        <v>1877</v>
      </c>
      <c r="F814" s="21"/>
      <c r="G814" s="22">
        <v>1.0</v>
      </c>
      <c r="H814" s="22" t="s">
        <v>239</v>
      </c>
      <c r="I814" s="58">
        <v>18.98</v>
      </c>
      <c r="J814" s="58">
        <v>18.98</v>
      </c>
      <c r="K814" s="21" t="s">
        <v>1700</v>
      </c>
    </row>
    <row r="815" ht="21.75" customHeight="1">
      <c r="A815" s="20">
        <v>46183.0</v>
      </c>
      <c r="B815" s="21" t="s">
        <v>1878</v>
      </c>
      <c r="C815" s="21" t="s">
        <v>157</v>
      </c>
      <c r="D815" s="21" t="s">
        <v>271</v>
      </c>
      <c r="E815" s="21" t="s">
        <v>1879</v>
      </c>
      <c r="F815" s="21"/>
      <c r="G815" s="22">
        <v>1.0</v>
      </c>
      <c r="H815" s="22" t="s">
        <v>239</v>
      </c>
      <c r="I815" s="58">
        <v>179.0</v>
      </c>
      <c r="J815" s="58">
        <v>193.32</v>
      </c>
      <c r="K815" s="21" t="s">
        <v>1880</v>
      </c>
    </row>
    <row r="816" ht="21.75" customHeight="1">
      <c r="A816" s="20">
        <v>46184.0</v>
      </c>
      <c r="B816" s="21" t="s">
        <v>1881</v>
      </c>
      <c r="C816" s="21" t="s">
        <v>157</v>
      </c>
      <c r="D816" s="21" t="s">
        <v>226</v>
      </c>
      <c r="E816" s="21" t="s">
        <v>1882</v>
      </c>
      <c r="F816" s="21"/>
      <c r="G816" s="22">
        <v>5.0</v>
      </c>
      <c r="H816" s="22" t="s">
        <v>239</v>
      </c>
      <c r="I816" s="58">
        <v>24.4</v>
      </c>
      <c r="J816" s="58">
        <v>122.0</v>
      </c>
      <c r="K816" s="21" t="s">
        <v>1883</v>
      </c>
    </row>
    <row r="817" ht="21.75" customHeight="1">
      <c r="A817" s="20">
        <v>46184.0</v>
      </c>
      <c r="B817" s="21" t="s">
        <v>1884</v>
      </c>
      <c r="C817" s="21" t="s">
        <v>157</v>
      </c>
      <c r="D817" s="21" t="s">
        <v>226</v>
      </c>
      <c r="E817" s="21" t="s">
        <v>1885</v>
      </c>
      <c r="F817" s="21"/>
      <c r="G817" s="22">
        <v>5.0</v>
      </c>
      <c r="H817" s="22" t="s">
        <v>239</v>
      </c>
      <c r="I817" s="58">
        <v>23.7</v>
      </c>
      <c r="J817" s="58">
        <v>118.5</v>
      </c>
      <c r="K817" s="21" t="s">
        <v>1887</v>
      </c>
    </row>
    <row r="818" ht="21.75" customHeight="1">
      <c r="A818" s="20">
        <v>46184.0</v>
      </c>
      <c r="B818" s="21" t="s">
        <v>1888</v>
      </c>
      <c r="C818" s="21" t="s">
        <v>157</v>
      </c>
      <c r="D818" s="21" t="s">
        <v>271</v>
      </c>
      <c r="E818" s="21" t="s">
        <v>1889</v>
      </c>
      <c r="F818" s="21"/>
      <c r="G818" s="22">
        <v>1.0</v>
      </c>
      <c r="H818" s="22" t="s">
        <v>239</v>
      </c>
      <c r="I818" s="58">
        <v>56.99</v>
      </c>
      <c r="J818" s="58">
        <v>56.99</v>
      </c>
      <c r="K818" s="21" t="s">
        <v>1253</v>
      </c>
    </row>
    <row r="819" ht="21.75" customHeight="1">
      <c r="A819" s="20">
        <v>46184.0</v>
      </c>
      <c r="B819" s="21" t="s">
        <v>1890</v>
      </c>
      <c r="C819" s="21" t="s">
        <v>157</v>
      </c>
      <c r="D819" s="21" t="s">
        <v>226</v>
      </c>
      <c r="E819" s="21" t="s">
        <v>1882</v>
      </c>
      <c r="F819" s="21"/>
      <c r="G819" s="22">
        <v>5.0</v>
      </c>
      <c r="H819" s="22" t="s">
        <v>239</v>
      </c>
      <c r="I819" s="58">
        <v>24.4</v>
      </c>
      <c r="J819" s="58">
        <v>122.0</v>
      </c>
      <c r="K819" s="21" t="s">
        <v>1883</v>
      </c>
    </row>
    <row r="820" ht="21.75" customHeight="1">
      <c r="A820" s="20">
        <v>46185.0</v>
      </c>
      <c r="B820" s="21" t="s">
        <v>1893</v>
      </c>
      <c r="C820" s="21" t="s">
        <v>157</v>
      </c>
      <c r="D820" s="21" t="s">
        <v>226</v>
      </c>
      <c r="E820" s="21" t="s">
        <v>1894</v>
      </c>
      <c r="F820" s="21"/>
      <c r="G820" s="22">
        <v>2.0</v>
      </c>
      <c r="H820" s="22" t="s">
        <v>239</v>
      </c>
      <c r="I820" s="58">
        <v>49.99</v>
      </c>
      <c r="J820" s="58">
        <v>99.98</v>
      </c>
      <c r="K820" s="21" t="s">
        <v>1895</v>
      </c>
    </row>
    <row r="821" ht="21.75" customHeight="1">
      <c r="A821" s="20">
        <v>46185.0</v>
      </c>
      <c r="B821" s="21" t="s">
        <v>1896</v>
      </c>
      <c r="C821" s="21" t="s">
        <v>157</v>
      </c>
      <c r="D821" s="21" t="s">
        <v>226</v>
      </c>
      <c r="E821" s="21" t="s">
        <v>1897</v>
      </c>
      <c r="F821" s="21"/>
      <c r="G821" s="22">
        <v>2.0</v>
      </c>
      <c r="H821" s="22" t="s">
        <v>239</v>
      </c>
      <c r="I821" s="58">
        <v>185.26</v>
      </c>
      <c r="J821" s="58">
        <v>370.52</v>
      </c>
      <c r="K821" s="21" t="s">
        <v>1899</v>
      </c>
    </row>
    <row r="822" ht="21.75" customHeight="1">
      <c r="A822" s="20">
        <v>46188.0</v>
      </c>
      <c r="B822" s="21" t="s">
        <v>1900</v>
      </c>
      <c r="C822" s="21" t="s">
        <v>157</v>
      </c>
      <c r="D822" s="21" t="s">
        <v>226</v>
      </c>
      <c r="E822" s="21" t="s">
        <v>1901</v>
      </c>
      <c r="F822" s="21"/>
      <c r="G822" s="22">
        <v>1.0</v>
      </c>
      <c r="H822" s="22" t="s">
        <v>239</v>
      </c>
      <c r="I822" s="58">
        <v>12.33</v>
      </c>
      <c r="J822" s="58">
        <v>15.32</v>
      </c>
      <c r="K822" s="21" t="s">
        <v>1902</v>
      </c>
    </row>
    <row r="823" ht="21.75" customHeight="1">
      <c r="A823" s="20">
        <v>46188.0</v>
      </c>
      <c r="B823" s="21" t="s">
        <v>1903</v>
      </c>
      <c r="C823" s="21" t="s">
        <v>157</v>
      </c>
      <c r="D823" s="21" t="s">
        <v>226</v>
      </c>
      <c r="E823" s="21" t="s">
        <v>1894</v>
      </c>
      <c r="F823" s="21"/>
      <c r="G823" s="22">
        <v>2.0</v>
      </c>
      <c r="H823" s="22" t="s">
        <v>239</v>
      </c>
      <c r="I823" s="58">
        <v>45.11</v>
      </c>
      <c r="J823" s="58">
        <v>90.22</v>
      </c>
      <c r="K823" s="21" t="s">
        <v>1895</v>
      </c>
    </row>
    <row r="824" ht="21.75" customHeight="1">
      <c r="A824" s="20">
        <v>46188.0</v>
      </c>
      <c r="B824" s="21" t="s">
        <v>1903</v>
      </c>
      <c r="C824" s="21" t="s">
        <v>157</v>
      </c>
      <c r="D824" s="21" t="s">
        <v>226</v>
      </c>
      <c r="E824" s="21" t="s">
        <v>1904</v>
      </c>
      <c r="F824" s="21"/>
      <c r="G824" s="22">
        <v>1.0</v>
      </c>
      <c r="H824" s="22" t="s">
        <v>239</v>
      </c>
      <c r="I824" s="58">
        <v>8.99</v>
      </c>
      <c r="J824" s="58">
        <v>8.99</v>
      </c>
      <c r="K824" s="21" t="s">
        <v>1905</v>
      </c>
    </row>
    <row r="825" ht="21.75" customHeight="1">
      <c r="A825" s="20">
        <v>46188.0</v>
      </c>
      <c r="B825" s="21" t="s">
        <v>1906</v>
      </c>
      <c r="C825" s="21" t="s">
        <v>157</v>
      </c>
      <c r="D825" s="21" t="s">
        <v>42</v>
      </c>
      <c r="E825" s="21" t="s">
        <v>1907</v>
      </c>
      <c r="F825" s="21"/>
      <c r="G825" s="22">
        <v>1.0</v>
      </c>
      <c r="H825" s="22" t="s">
        <v>239</v>
      </c>
      <c r="I825" s="58">
        <v>76.63</v>
      </c>
      <c r="J825" s="58">
        <v>76.63</v>
      </c>
      <c r="K825" s="21" t="s">
        <v>1908</v>
      </c>
    </row>
    <row r="826" ht="21.75" customHeight="1">
      <c r="A826" s="20">
        <v>46189.0</v>
      </c>
      <c r="B826" s="21" t="s">
        <v>1909</v>
      </c>
      <c r="C826" s="21" t="s">
        <v>157</v>
      </c>
      <c r="D826" s="21" t="s">
        <v>226</v>
      </c>
      <c r="E826" s="21" t="s">
        <v>1894</v>
      </c>
      <c r="F826" s="21"/>
      <c r="G826" s="22">
        <v>1.0</v>
      </c>
      <c r="H826" s="22" t="s">
        <v>239</v>
      </c>
      <c r="I826" s="58">
        <v>45.11</v>
      </c>
      <c r="J826" s="58">
        <v>45.11</v>
      </c>
      <c r="K826" s="21" t="s">
        <v>1895</v>
      </c>
    </row>
    <row r="827" ht="21.75" customHeight="1">
      <c r="A827" s="20">
        <v>46189.0</v>
      </c>
      <c r="B827" s="21" t="s">
        <v>1909</v>
      </c>
      <c r="C827" s="21" t="s">
        <v>157</v>
      </c>
      <c r="D827" s="21" t="s">
        <v>226</v>
      </c>
      <c r="E827" s="21" t="s">
        <v>1894</v>
      </c>
      <c r="F827" s="21"/>
      <c r="G827" s="22">
        <v>1.0</v>
      </c>
      <c r="H827" s="22" t="s">
        <v>239</v>
      </c>
      <c r="I827" s="58">
        <v>45.11</v>
      </c>
      <c r="J827" s="58">
        <v>45.11</v>
      </c>
      <c r="K827" s="21" t="s">
        <v>1895</v>
      </c>
    </row>
    <row r="828" ht="21.75" customHeight="1">
      <c r="A828" s="20">
        <v>46189.0</v>
      </c>
      <c r="B828" s="21" t="s">
        <v>1912</v>
      </c>
      <c r="C828" s="21" t="s">
        <v>157</v>
      </c>
      <c r="D828" s="21" t="s">
        <v>349</v>
      </c>
      <c r="E828" s="21" t="s">
        <v>1913</v>
      </c>
      <c r="F828" s="21"/>
      <c r="G828" s="22">
        <v>7.0</v>
      </c>
      <c r="H828" s="22" t="s">
        <v>239</v>
      </c>
      <c r="I828" s="58">
        <v>4.68</v>
      </c>
      <c r="J828" s="58">
        <v>32.76</v>
      </c>
      <c r="K828" s="21" t="s">
        <v>1914</v>
      </c>
    </row>
    <row r="829" ht="21.75" customHeight="1">
      <c r="A829" s="20">
        <v>46189.0</v>
      </c>
      <c r="B829" s="21" t="s">
        <v>1916</v>
      </c>
      <c r="C829" s="21" t="s">
        <v>157</v>
      </c>
      <c r="D829" s="21" t="s">
        <v>271</v>
      </c>
      <c r="E829" s="21" t="s">
        <v>1018</v>
      </c>
      <c r="F829" s="21"/>
      <c r="G829" s="22">
        <v>1.0</v>
      </c>
      <c r="H829" s="22" t="s">
        <v>239</v>
      </c>
      <c r="I829" s="58">
        <v>120.52</v>
      </c>
      <c r="J829" s="58">
        <v>120.52</v>
      </c>
      <c r="K829" s="21" t="s">
        <v>1253</v>
      </c>
    </row>
    <row r="830" ht="21.75" customHeight="1">
      <c r="A830" s="20">
        <v>46189.0</v>
      </c>
      <c r="B830" s="21" t="s">
        <v>1918</v>
      </c>
      <c r="C830" s="21" t="s">
        <v>157</v>
      </c>
      <c r="D830" s="21" t="s">
        <v>349</v>
      </c>
      <c r="E830" s="21" t="s">
        <v>1839</v>
      </c>
      <c r="F830" s="21"/>
      <c r="G830" s="22">
        <v>2.0</v>
      </c>
      <c r="H830" s="22" t="s">
        <v>239</v>
      </c>
      <c r="I830" s="58">
        <v>18.99</v>
      </c>
      <c r="J830" s="58">
        <v>37.98</v>
      </c>
      <c r="K830" s="21" t="s">
        <v>1840</v>
      </c>
    </row>
    <row r="831" ht="21.75" customHeight="1">
      <c r="A831" s="20">
        <v>46192.0</v>
      </c>
      <c r="B831" s="21" t="s">
        <v>1919</v>
      </c>
      <c r="C831" s="21" t="s">
        <v>157</v>
      </c>
      <c r="D831" s="21" t="s">
        <v>349</v>
      </c>
      <c r="E831" s="21" t="s">
        <v>1650</v>
      </c>
      <c r="F831" s="21"/>
      <c r="G831" s="22">
        <v>4.0</v>
      </c>
      <c r="H831" s="22" t="s">
        <v>239</v>
      </c>
      <c r="I831" s="58">
        <v>16.99</v>
      </c>
      <c r="J831" s="58">
        <v>67.96</v>
      </c>
      <c r="K831" s="21" t="s">
        <v>1538</v>
      </c>
    </row>
    <row r="832" ht="21.75" customHeight="1">
      <c r="A832" s="20">
        <v>46192.0</v>
      </c>
      <c r="B832" s="21" t="s">
        <v>1919</v>
      </c>
      <c r="C832" s="21" t="s">
        <v>157</v>
      </c>
      <c r="D832" s="21" t="s">
        <v>271</v>
      </c>
      <c r="E832" s="21" t="s">
        <v>1618</v>
      </c>
      <c r="F832" s="21"/>
      <c r="G832" s="22">
        <v>1.0</v>
      </c>
      <c r="H832" s="22" t="s">
        <v>239</v>
      </c>
      <c r="I832" s="58">
        <v>39.97</v>
      </c>
      <c r="J832" s="58">
        <v>39.97</v>
      </c>
      <c r="K832" s="21" t="s">
        <v>1147</v>
      </c>
    </row>
    <row r="833" ht="21.75" customHeight="1">
      <c r="A833" s="20">
        <v>46195.0</v>
      </c>
      <c r="B833" s="21" t="s">
        <v>1921</v>
      </c>
      <c r="C833" s="21" t="s">
        <v>157</v>
      </c>
      <c r="D833" s="21" t="s">
        <v>452</v>
      </c>
      <c r="E833" s="21" t="s">
        <v>1054</v>
      </c>
      <c r="F833" s="21"/>
      <c r="G833" s="22">
        <v>1.0</v>
      </c>
      <c r="H833" s="22" t="s">
        <v>239</v>
      </c>
      <c r="I833" s="58">
        <v>0.0</v>
      </c>
      <c r="J833" s="58">
        <v>84.36</v>
      </c>
      <c r="K833" s="21" t="s">
        <v>1207</v>
      </c>
    </row>
    <row r="834" ht="21.75" customHeight="1">
      <c r="A834" s="20">
        <v>46195.0</v>
      </c>
      <c r="B834" s="21" t="s">
        <v>1921</v>
      </c>
      <c r="C834" s="21" t="s">
        <v>157</v>
      </c>
      <c r="D834" s="21" t="s">
        <v>226</v>
      </c>
      <c r="E834" s="21" t="s">
        <v>1874</v>
      </c>
      <c r="F834" s="21"/>
      <c r="G834" s="22">
        <v>1.0</v>
      </c>
      <c r="H834" s="22" t="s">
        <v>239</v>
      </c>
      <c r="I834" s="58">
        <v>0.0</v>
      </c>
      <c r="J834" s="58">
        <v>115.64</v>
      </c>
      <c r="K834" s="21" t="s">
        <v>1875</v>
      </c>
    </row>
    <row r="835" ht="21.75" customHeight="1">
      <c r="A835" s="20">
        <v>46195.0</v>
      </c>
      <c r="B835" s="21" t="s">
        <v>1921</v>
      </c>
      <c r="C835" s="21" t="s">
        <v>157</v>
      </c>
      <c r="D835" s="21" t="s">
        <v>226</v>
      </c>
      <c r="E835" s="21" t="s">
        <v>1053</v>
      </c>
      <c r="F835" s="21"/>
      <c r="G835" s="22">
        <v>1.0</v>
      </c>
      <c r="H835" s="22" t="s">
        <v>239</v>
      </c>
      <c r="I835" s="58">
        <v>0.0</v>
      </c>
      <c r="J835" s="58">
        <v>183.9</v>
      </c>
      <c r="K835" s="21" t="s">
        <v>1184</v>
      </c>
    </row>
    <row r="836" ht="21.75" customHeight="1">
      <c r="A836" s="20">
        <v>46195.0</v>
      </c>
      <c r="B836" s="21" t="s">
        <v>1921</v>
      </c>
      <c r="C836" s="21" t="s">
        <v>157</v>
      </c>
      <c r="D836" s="21" t="s">
        <v>226</v>
      </c>
      <c r="E836" s="21" t="s">
        <v>1053</v>
      </c>
      <c r="F836" s="21"/>
      <c r="G836" s="22">
        <v>1.0</v>
      </c>
      <c r="H836" s="22" t="s">
        <v>239</v>
      </c>
      <c r="I836" s="58">
        <v>0.0</v>
      </c>
      <c r="J836" s="58">
        <v>183.9</v>
      </c>
      <c r="K836" s="21" t="s">
        <v>1184</v>
      </c>
    </row>
    <row r="837" ht="21.75" customHeight="1">
      <c r="A837" s="20">
        <v>46195.0</v>
      </c>
      <c r="B837" s="21" t="s">
        <v>1922</v>
      </c>
      <c r="C837" s="21" t="s">
        <v>157</v>
      </c>
      <c r="D837" s="21" t="s">
        <v>42</v>
      </c>
      <c r="E837" s="21" t="s">
        <v>330</v>
      </c>
      <c r="F837" s="21"/>
      <c r="G837" s="22">
        <v>5.0</v>
      </c>
      <c r="H837" s="22" t="s">
        <v>239</v>
      </c>
      <c r="I837" s="58">
        <v>12.81</v>
      </c>
      <c r="J837" s="58">
        <v>64.05</v>
      </c>
      <c r="K837" s="21" t="s">
        <v>1707</v>
      </c>
    </row>
    <row r="838" ht="21.75" customHeight="1">
      <c r="A838" s="20">
        <v>46195.0</v>
      </c>
      <c r="B838" s="21" t="s">
        <v>1924</v>
      </c>
      <c r="C838" s="21" t="s">
        <v>157</v>
      </c>
      <c r="D838" s="21" t="s">
        <v>42</v>
      </c>
      <c r="E838" s="21" t="s">
        <v>330</v>
      </c>
      <c r="F838" s="21"/>
      <c r="G838" s="22">
        <v>1.0</v>
      </c>
      <c r="H838" s="22" t="s">
        <v>239</v>
      </c>
      <c r="I838" s="58">
        <v>12.81</v>
      </c>
      <c r="J838" s="58">
        <v>12.81</v>
      </c>
      <c r="K838" s="21" t="s">
        <v>1707</v>
      </c>
    </row>
    <row r="839" ht="21.75" customHeight="1">
      <c r="A839" s="20">
        <v>46196.0</v>
      </c>
      <c r="B839" s="21" t="s">
        <v>1926</v>
      </c>
      <c r="C839" s="21" t="s">
        <v>856</v>
      </c>
      <c r="D839" s="21" t="s">
        <v>42</v>
      </c>
      <c r="E839" s="21" t="s">
        <v>1891</v>
      </c>
      <c r="F839" s="21" t="s">
        <v>1898</v>
      </c>
      <c r="G839" s="22">
        <v>5000.0</v>
      </c>
      <c r="H839" s="22" t="s">
        <v>73</v>
      </c>
      <c r="I839" s="58">
        <v>1.45</v>
      </c>
      <c r="J839" s="58">
        <v>7250.0</v>
      </c>
      <c r="K839" s="21"/>
    </row>
    <row r="840" ht="21.75" customHeight="1">
      <c r="A840" s="20">
        <v>46196.0</v>
      </c>
      <c r="B840" s="21" t="s">
        <v>1926</v>
      </c>
      <c r="C840" s="21" t="s">
        <v>856</v>
      </c>
      <c r="D840" s="21" t="s">
        <v>42</v>
      </c>
      <c r="E840" s="21" t="s">
        <v>857</v>
      </c>
      <c r="F840" s="21" t="s">
        <v>1927</v>
      </c>
      <c r="G840" s="22">
        <v>1.0</v>
      </c>
      <c r="H840" s="22" t="s">
        <v>73</v>
      </c>
      <c r="I840" s="58">
        <v>331.0</v>
      </c>
      <c r="J840" s="58">
        <v>331.0</v>
      </c>
      <c r="K840" s="21"/>
    </row>
    <row r="841" ht="21.75" customHeight="1">
      <c r="A841" s="20">
        <v>46209.0</v>
      </c>
      <c r="B841" s="21" t="s">
        <v>1928</v>
      </c>
      <c r="C841" s="21" t="s">
        <v>157</v>
      </c>
      <c r="D841" s="21" t="s">
        <v>271</v>
      </c>
      <c r="E841" s="21" t="s">
        <v>1930</v>
      </c>
      <c r="F841" s="21"/>
      <c r="G841" s="22">
        <v>4.0</v>
      </c>
      <c r="H841" s="22" t="s">
        <v>239</v>
      </c>
      <c r="I841" s="58">
        <v>32.63</v>
      </c>
      <c r="J841" s="58">
        <v>130.52</v>
      </c>
      <c r="K841" s="21" t="s">
        <v>1931</v>
      </c>
    </row>
    <row r="842" ht="21.75" customHeight="1">
      <c r="A842" s="20">
        <v>46209.0</v>
      </c>
      <c r="B842" s="21" t="s">
        <v>1928</v>
      </c>
      <c r="C842" s="21" t="s">
        <v>157</v>
      </c>
      <c r="D842" s="21" t="s">
        <v>271</v>
      </c>
      <c r="E842" s="21" t="s">
        <v>1932</v>
      </c>
      <c r="F842" s="21"/>
      <c r="G842" s="22">
        <v>4.0</v>
      </c>
      <c r="H842" s="22" t="s">
        <v>239</v>
      </c>
      <c r="I842" s="58">
        <v>28.79</v>
      </c>
      <c r="J842" s="58">
        <v>115.16</v>
      </c>
      <c r="K842" s="21" t="s">
        <v>1931</v>
      </c>
    </row>
    <row r="843" ht="21.75" customHeight="1">
      <c r="A843" s="20">
        <v>46209.0</v>
      </c>
      <c r="B843" s="21" t="s">
        <v>1933</v>
      </c>
      <c r="C843" s="21" t="s">
        <v>157</v>
      </c>
      <c r="D843" s="21" t="s">
        <v>226</v>
      </c>
      <c r="E843" s="21" t="s">
        <v>1935</v>
      </c>
      <c r="F843" s="21"/>
      <c r="G843" s="22">
        <v>1.0</v>
      </c>
      <c r="H843" s="22" t="s">
        <v>239</v>
      </c>
      <c r="I843" s="58">
        <v>45.11</v>
      </c>
      <c r="J843" s="58">
        <v>45.11</v>
      </c>
      <c r="K843" s="21" t="s">
        <v>1937</v>
      </c>
    </row>
    <row r="844" ht="21.75" customHeight="1">
      <c r="A844" s="20">
        <v>46209.0</v>
      </c>
      <c r="B844" s="21" t="s">
        <v>1938</v>
      </c>
      <c r="C844" s="21" t="s">
        <v>157</v>
      </c>
      <c r="D844" s="21" t="s">
        <v>42</v>
      </c>
      <c r="E844" s="21" t="s">
        <v>1481</v>
      </c>
      <c r="F844" s="21"/>
      <c r="G844" s="22">
        <v>2.0</v>
      </c>
      <c r="H844" s="22" t="s">
        <v>239</v>
      </c>
      <c r="I844" s="58">
        <v>14.99</v>
      </c>
      <c r="J844" s="58">
        <v>29.98</v>
      </c>
      <c r="K844" s="21" t="s">
        <v>1482</v>
      </c>
    </row>
    <row r="845" ht="21.75" customHeight="1">
      <c r="A845" s="20">
        <v>46209.0</v>
      </c>
      <c r="B845" s="21" t="s">
        <v>1938</v>
      </c>
      <c r="C845" s="21" t="s">
        <v>157</v>
      </c>
      <c r="D845" s="21" t="s">
        <v>226</v>
      </c>
      <c r="E845" s="21" t="s">
        <v>1045</v>
      </c>
      <c r="F845" s="21"/>
      <c r="G845" s="22">
        <v>2.0</v>
      </c>
      <c r="H845" s="22" t="s">
        <v>239</v>
      </c>
      <c r="I845" s="58">
        <v>14.99</v>
      </c>
      <c r="J845" s="58">
        <v>29.98</v>
      </c>
      <c r="K845" s="21" t="s">
        <v>1867</v>
      </c>
    </row>
    <row r="846" ht="21.75" customHeight="1">
      <c r="A846" s="20">
        <v>46209.0</v>
      </c>
      <c r="B846" s="21" t="s">
        <v>1939</v>
      </c>
      <c r="C846" s="21" t="s">
        <v>157</v>
      </c>
      <c r="D846" s="21" t="s">
        <v>271</v>
      </c>
      <c r="E846" s="21" t="s">
        <v>1467</v>
      </c>
      <c r="F846" s="21"/>
      <c r="G846" s="22">
        <v>2.0</v>
      </c>
      <c r="H846" s="22" t="s">
        <v>239</v>
      </c>
      <c r="I846" s="58">
        <v>9.4</v>
      </c>
      <c r="J846" s="58">
        <v>18.8</v>
      </c>
      <c r="K846" s="21" t="s">
        <v>1468</v>
      </c>
    </row>
    <row r="847" ht="21.75" customHeight="1">
      <c r="A847" s="20">
        <v>46209.0</v>
      </c>
      <c r="B847" s="21" t="s">
        <v>1940</v>
      </c>
      <c r="C847" s="21" t="s">
        <v>157</v>
      </c>
      <c r="D847" s="21" t="s">
        <v>349</v>
      </c>
      <c r="E847" s="21" t="s">
        <v>1344</v>
      </c>
      <c r="F847" s="21"/>
      <c r="G847" s="22">
        <v>1.0</v>
      </c>
      <c r="H847" s="22" t="s">
        <v>239</v>
      </c>
      <c r="I847" s="58">
        <v>34.99</v>
      </c>
      <c r="J847" s="58">
        <v>34.99</v>
      </c>
      <c r="K847" s="21" t="s">
        <v>1345</v>
      </c>
    </row>
    <row r="848" ht="21.75" customHeight="1">
      <c r="A848" s="20">
        <v>46209.0</v>
      </c>
      <c r="B848" s="21" t="s">
        <v>1940</v>
      </c>
      <c r="C848" s="21" t="s">
        <v>157</v>
      </c>
      <c r="D848" s="21" t="s">
        <v>42</v>
      </c>
      <c r="E848" s="21" t="s">
        <v>994</v>
      </c>
      <c r="F848" s="21"/>
      <c r="G848" s="22">
        <v>1.0</v>
      </c>
      <c r="H848" s="22" t="s">
        <v>239</v>
      </c>
      <c r="I848" s="58">
        <v>16.65</v>
      </c>
      <c r="J848" s="58">
        <v>16.65</v>
      </c>
      <c r="K848" s="21" t="s">
        <v>1852</v>
      </c>
    </row>
    <row r="849" ht="21.75" customHeight="1">
      <c r="A849" s="20">
        <v>46212.0</v>
      </c>
      <c r="B849" s="21" t="s">
        <v>1942</v>
      </c>
      <c r="C849" s="21" t="s">
        <v>157</v>
      </c>
      <c r="D849" s="21" t="s">
        <v>226</v>
      </c>
      <c r="E849" s="21" t="s">
        <v>1054</v>
      </c>
      <c r="F849" s="21"/>
      <c r="G849" s="22">
        <v>2.0</v>
      </c>
      <c r="H849" s="22" t="s">
        <v>239</v>
      </c>
      <c r="I849" s="58">
        <v>14.2</v>
      </c>
      <c r="J849" s="58">
        <v>28.4</v>
      </c>
      <c r="K849" s="21" t="s">
        <v>1943</v>
      </c>
    </row>
    <row r="850" ht="21.75" customHeight="1">
      <c r="A850" s="20">
        <v>46212.0</v>
      </c>
      <c r="B850" s="21" t="s">
        <v>1942</v>
      </c>
      <c r="C850" s="21" t="s">
        <v>157</v>
      </c>
      <c r="D850" s="21" t="s">
        <v>226</v>
      </c>
      <c r="E850" s="21" t="s">
        <v>1874</v>
      </c>
      <c r="F850" s="21"/>
      <c r="G850" s="22">
        <v>1.0</v>
      </c>
      <c r="H850" s="22" t="s">
        <v>239</v>
      </c>
      <c r="I850" s="58">
        <v>115.64</v>
      </c>
      <c r="J850" s="58">
        <v>115.64</v>
      </c>
      <c r="K850" s="21" t="s">
        <v>1875</v>
      </c>
    </row>
    <row r="851" ht="21.75" customHeight="1">
      <c r="A851" s="20">
        <v>46212.0</v>
      </c>
      <c r="B851" s="21" t="s">
        <v>1945</v>
      </c>
      <c r="C851" s="21" t="s">
        <v>157</v>
      </c>
      <c r="D851" s="21" t="s">
        <v>271</v>
      </c>
      <c r="E851" s="21" t="s">
        <v>1946</v>
      </c>
      <c r="F851" s="21"/>
      <c r="G851" s="22">
        <v>1.0</v>
      </c>
      <c r="H851" s="22" t="s">
        <v>239</v>
      </c>
      <c r="I851" s="58">
        <v>32.0</v>
      </c>
      <c r="J851" s="58">
        <v>32.0</v>
      </c>
      <c r="K851" s="21" t="s">
        <v>1947</v>
      </c>
    </row>
    <row r="852" ht="21.75" customHeight="1">
      <c r="A852" s="20">
        <v>46212.0</v>
      </c>
      <c r="B852" s="21" t="s">
        <v>1945</v>
      </c>
      <c r="C852" s="21" t="s">
        <v>157</v>
      </c>
      <c r="D852" s="21" t="s">
        <v>226</v>
      </c>
      <c r="E852" s="21" t="s">
        <v>1053</v>
      </c>
      <c r="F852" s="21"/>
      <c r="G852" s="22">
        <v>10.0</v>
      </c>
      <c r="H852" s="22" t="s">
        <v>239</v>
      </c>
      <c r="I852" s="58">
        <v>20.99</v>
      </c>
      <c r="J852" s="58">
        <v>209.9</v>
      </c>
      <c r="K852" s="21" t="s">
        <v>1184</v>
      </c>
    </row>
    <row r="853" ht="21.75" customHeight="1">
      <c r="A853" s="20">
        <v>46218.0</v>
      </c>
      <c r="B853" s="21" t="s">
        <v>1950</v>
      </c>
      <c r="C853" s="21" t="s">
        <v>157</v>
      </c>
      <c r="D853" s="21" t="s">
        <v>349</v>
      </c>
      <c r="E853" s="21" t="s">
        <v>901</v>
      </c>
      <c r="F853" s="21"/>
      <c r="G853" s="22">
        <v>2.0</v>
      </c>
      <c r="H853" s="22" t="s">
        <v>239</v>
      </c>
      <c r="I853" s="58">
        <v>106.82</v>
      </c>
      <c r="J853" s="58">
        <v>253.64</v>
      </c>
      <c r="K853" s="21" t="s">
        <v>1595</v>
      </c>
    </row>
    <row r="854" ht="21.75" customHeight="1">
      <c r="A854" s="20">
        <v>46223.0</v>
      </c>
      <c r="B854" s="21" t="s">
        <v>1951</v>
      </c>
      <c r="C854" s="21" t="s">
        <v>157</v>
      </c>
      <c r="D854" s="21" t="s">
        <v>226</v>
      </c>
      <c r="E854" s="21" t="s">
        <v>1053</v>
      </c>
      <c r="F854" s="21"/>
      <c r="G854" s="22">
        <v>20.0</v>
      </c>
      <c r="H854" s="22" t="s">
        <v>239</v>
      </c>
      <c r="I854" s="58">
        <v>20.99</v>
      </c>
      <c r="J854" s="58">
        <v>419.8</v>
      </c>
      <c r="K854" s="21" t="s">
        <v>1184</v>
      </c>
    </row>
    <row r="855" ht="21.75" customHeight="1">
      <c r="A855" s="20">
        <v>46232.0</v>
      </c>
      <c r="B855" s="21" t="s">
        <v>1953</v>
      </c>
      <c r="C855" s="21" t="s">
        <v>1954</v>
      </c>
      <c r="D855" s="21" t="s">
        <v>42</v>
      </c>
      <c r="E855" s="21" t="s">
        <v>1955</v>
      </c>
      <c r="F855" s="21" t="s">
        <v>1956</v>
      </c>
      <c r="G855" s="22">
        <v>30.0</v>
      </c>
      <c r="H855" s="22" t="s">
        <v>73</v>
      </c>
      <c r="I855" s="58">
        <v>10.25</v>
      </c>
      <c r="J855" s="58">
        <v>307.5</v>
      </c>
      <c r="K855" s="21"/>
    </row>
    <row r="856" ht="21.75" customHeight="1">
      <c r="A856" s="20">
        <v>46232.0</v>
      </c>
      <c r="B856" s="21" t="s">
        <v>1953</v>
      </c>
      <c r="C856" s="21" t="s">
        <v>1954</v>
      </c>
      <c r="D856" s="21" t="s">
        <v>42</v>
      </c>
      <c r="E856" s="21" t="s">
        <v>1957</v>
      </c>
      <c r="F856" s="21" t="s">
        <v>1958</v>
      </c>
      <c r="G856" s="22">
        <v>1.0</v>
      </c>
      <c r="H856" s="22" t="s">
        <v>73</v>
      </c>
      <c r="I856" s="58">
        <v>121.95</v>
      </c>
      <c r="J856" s="58">
        <v>121.95</v>
      </c>
      <c r="K856" s="21"/>
    </row>
    <row r="857" ht="21.75" customHeight="1">
      <c r="A857" s="20">
        <v>46232.0</v>
      </c>
      <c r="B857" s="21" t="s">
        <v>1959</v>
      </c>
      <c r="C857" s="21" t="s">
        <v>157</v>
      </c>
      <c r="D857" s="21" t="s">
        <v>42</v>
      </c>
      <c r="E857" s="21" t="s">
        <v>1162</v>
      </c>
      <c r="F857" s="21"/>
      <c r="G857" s="22">
        <v>2.0</v>
      </c>
      <c r="H857" s="22" t="s">
        <v>239</v>
      </c>
      <c r="I857" s="58">
        <v>92.58</v>
      </c>
      <c r="J857" s="58">
        <v>185.16</v>
      </c>
      <c r="K857" s="21" t="s">
        <v>1163</v>
      </c>
    </row>
    <row r="858" ht="21.75" customHeight="1">
      <c r="A858" s="20">
        <v>46232.0</v>
      </c>
      <c r="B858" s="21" t="s">
        <v>1960</v>
      </c>
      <c r="C858" s="21" t="s">
        <v>157</v>
      </c>
      <c r="D858" s="21" t="s">
        <v>226</v>
      </c>
      <c r="E858" s="21" t="s">
        <v>1961</v>
      </c>
      <c r="F858" s="21"/>
      <c r="G858" s="22">
        <v>2.0</v>
      </c>
      <c r="H858" s="22" t="s">
        <v>239</v>
      </c>
      <c r="I858" s="58">
        <v>44.99</v>
      </c>
      <c r="J858" s="58">
        <v>89.98</v>
      </c>
      <c r="K858" s="21" t="s">
        <v>1962</v>
      </c>
    </row>
    <row r="859" ht="21.75" customHeight="1">
      <c r="A859" s="20">
        <v>46232.0</v>
      </c>
      <c r="B859" s="21" t="s">
        <v>1960</v>
      </c>
      <c r="C859" s="21" t="s">
        <v>157</v>
      </c>
      <c r="D859" s="21" t="s">
        <v>226</v>
      </c>
      <c r="E859" s="21" t="s">
        <v>1963</v>
      </c>
      <c r="F859" s="21"/>
      <c r="G859" s="22">
        <v>1.0</v>
      </c>
      <c r="H859" s="22" t="s">
        <v>239</v>
      </c>
      <c r="I859" s="58">
        <v>12.51</v>
      </c>
      <c r="J859" s="58">
        <v>12.51</v>
      </c>
      <c r="K859" s="21" t="s">
        <v>1964</v>
      </c>
    </row>
    <row r="860" ht="21.75" customHeight="1">
      <c r="A860" s="20">
        <v>46232.0</v>
      </c>
      <c r="B860" s="21" t="s">
        <v>1960</v>
      </c>
      <c r="C860" s="21" t="s">
        <v>157</v>
      </c>
      <c r="D860" s="21" t="s">
        <v>226</v>
      </c>
      <c r="E860" s="21" t="s">
        <v>1965</v>
      </c>
      <c r="F860" s="21"/>
      <c r="G860" s="22">
        <v>1.0</v>
      </c>
      <c r="H860" s="22" t="s">
        <v>239</v>
      </c>
      <c r="I860" s="58">
        <v>14.97</v>
      </c>
      <c r="J860" s="58">
        <v>14.97</v>
      </c>
      <c r="K860" s="21" t="s">
        <v>1167</v>
      </c>
    </row>
    <row r="861" ht="21.75" customHeight="1">
      <c r="A861" s="20">
        <v>46232.0</v>
      </c>
      <c r="B861" s="21" t="s">
        <v>1960</v>
      </c>
      <c r="C861" s="21" t="s">
        <v>157</v>
      </c>
      <c r="D861" s="21" t="s">
        <v>271</v>
      </c>
      <c r="E861" s="21" t="s">
        <v>1499</v>
      </c>
      <c r="F861" s="21"/>
      <c r="G861" s="22">
        <v>2.0</v>
      </c>
      <c r="H861" s="22" t="s">
        <v>239</v>
      </c>
      <c r="I861" s="58">
        <v>31.9</v>
      </c>
      <c r="J861" s="58">
        <v>63.8</v>
      </c>
      <c r="K861" s="21" t="s">
        <v>1500</v>
      </c>
    </row>
    <row r="862" ht="21.75" customHeight="1">
      <c r="A862" s="20">
        <v>46232.0</v>
      </c>
      <c r="B862" s="21" t="s">
        <v>1960</v>
      </c>
      <c r="C862" s="21" t="s">
        <v>157</v>
      </c>
      <c r="D862" s="21" t="s">
        <v>226</v>
      </c>
      <c r="E862" s="21" t="s">
        <v>1200</v>
      </c>
      <c r="F862" s="21"/>
      <c r="G862" s="22">
        <v>1.0</v>
      </c>
      <c r="H862" s="22" t="s">
        <v>239</v>
      </c>
      <c r="I862" s="58">
        <v>19.98</v>
      </c>
      <c r="J862" s="58">
        <v>19.98</v>
      </c>
      <c r="K862" s="21" t="s">
        <v>1201</v>
      </c>
    </row>
    <row r="863" ht="21.75" customHeight="1">
      <c r="A863" s="20">
        <v>46232.0</v>
      </c>
      <c r="B863" s="21" t="s">
        <v>1960</v>
      </c>
      <c r="C863" s="21" t="s">
        <v>157</v>
      </c>
      <c r="D863" s="21" t="s">
        <v>226</v>
      </c>
      <c r="E863" s="21" t="s">
        <v>1559</v>
      </c>
      <c r="F863" s="21"/>
      <c r="G863" s="22">
        <v>1.0</v>
      </c>
      <c r="H863" s="22" t="s">
        <v>239</v>
      </c>
      <c r="I863" s="58">
        <v>6.98</v>
      </c>
      <c r="J863" s="58">
        <v>6.98</v>
      </c>
      <c r="K863" s="21" t="s">
        <v>1968</v>
      </c>
    </row>
    <row r="864" ht="21.75" customHeight="1">
      <c r="A864" s="20">
        <v>46232.0</v>
      </c>
      <c r="B864" s="21" t="s">
        <v>1960</v>
      </c>
      <c r="C864" s="21" t="s">
        <v>157</v>
      </c>
      <c r="D864" s="21" t="s">
        <v>42</v>
      </c>
      <c r="E864" s="21" t="s">
        <v>1162</v>
      </c>
      <c r="F864" s="21"/>
      <c r="G864" s="22">
        <v>1.0</v>
      </c>
      <c r="H864" s="22" t="s">
        <v>239</v>
      </c>
      <c r="I864" s="58">
        <v>0.0</v>
      </c>
      <c r="J864" s="58">
        <v>185.16</v>
      </c>
      <c r="K864" s="21" t="s">
        <v>1163</v>
      </c>
    </row>
    <row r="865" ht="21.75" customHeight="1">
      <c r="A865" s="20">
        <v>46238.0</v>
      </c>
      <c r="B865" s="21" t="s">
        <v>1970</v>
      </c>
      <c r="C865" s="21" t="s">
        <v>157</v>
      </c>
      <c r="D865" s="21" t="s">
        <v>452</v>
      </c>
      <c r="E865" s="21" t="s">
        <v>1971</v>
      </c>
      <c r="F865" s="21"/>
      <c r="G865" s="22">
        <v>1.0</v>
      </c>
      <c r="H865" s="22" t="s">
        <v>239</v>
      </c>
      <c r="I865" s="58">
        <v>22.72</v>
      </c>
      <c r="J865" s="58">
        <v>24.71</v>
      </c>
      <c r="K865" s="21" t="s">
        <v>1268</v>
      </c>
    </row>
    <row r="866" ht="21.75" customHeight="1">
      <c r="A866" s="20">
        <v>46238.0</v>
      </c>
      <c r="B866" s="21" t="s">
        <v>1972</v>
      </c>
      <c r="C866" s="21" t="s">
        <v>157</v>
      </c>
      <c r="D866" s="21" t="s">
        <v>42</v>
      </c>
      <c r="E866" s="21" t="s">
        <v>1517</v>
      </c>
      <c r="F866" s="21"/>
      <c r="G866" s="22">
        <v>1.0</v>
      </c>
      <c r="H866" s="22" t="s">
        <v>239</v>
      </c>
      <c r="I866" s="58">
        <v>52.89</v>
      </c>
      <c r="J866" s="58">
        <v>52.89</v>
      </c>
      <c r="K866" s="21" t="s">
        <v>1974</v>
      </c>
    </row>
    <row r="867" ht="21.75" customHeight="1">
      <c r="A867" s="20">
        <v>46238.0</v>
      </c>
      <c r="B867" s="21" t="s">
        <v>1975</v>
      </c>
      <c r="C867" s="21" t="s">
        <v>157</v>
      </c>
      <c r="D867" s="21" t="s">
        <v>226</v>
      </c>
      <c r="E867" s="21" t="s">
        <v>1976</v>
      </c>
      <c r="F867" s="21"/>
      <c r="G867" s="22">
        <v>1.0</v>
      </c>
      <c r="H867" s="22" t="s">
        <v>239</v>
      </c>
      <c r="I867" s="58">
        <v>148.99</v>
      </c>
      <c r="J867" s="58">
        <v>157.18</v>
      </c>
      <c r="K867" s="21" t="s">
        <v>1977</v>
      </c>
    </row>
    <row r="868" ht="21.75" customHeight="1">
      <c r="A868" s="20">
        <v>46239.0</v>
      </c>
      <c r="B868" s="21" t="s">
        <v>1978</v>
      </c>
      <c r="C868" s="21" t="s">
        <v>1954</v>
      </c>
      <c r="D868" s="21" t="s">
        <v>42</v>
      </c>
      <c r="E868" s="21" t="s">
        <v>1979</v>
      </c>
      <c r="F868" s="21" t="s">
        <v>1980</v>
      </c>
      <c r="G868" s="22">
        <v>100.0</v>
      </c>
      <c r="H868" s="22" t="s">
        <v>73</v>
      </c>
      <c r="I868" s="58">
        <v>5.28</v>
      </c>
      <c r="J868" s="58">
        <v>528.0</v>
      </c>
      <c r="K868" s="21"/>
    </row>
    <row r="869" ht="21.75" customHeight="1">
      <c r="A869" s="20">
        <v>46239.0</v>
      </c>
      <c r="B869" s="21" t="s">
        <v>1981</v>
      </c>
      <c r="C869" s="21" t="s">
        <v>307</v>
      </c>
      <c r="D869" s="21" t="s">
        <v>42</v>
      </c>
      <c r="E869" s="21" t="s">
        <v>309</v>
      </c>
      <c r="F869" s="21" t="s">
        <v>596</v>
      </c>
      <c r="G869" s="22">
        <v>2000.0</v>
      </c>
      <c r="H869" s="22" t="s">
        <v>73</v>
      </c>
      <c r="I869" s="58">
        <v>0.159</v>
      </c>
      <c r="J869" s="58">
        <v>318.0</v>
      </c>
      <c r="K869" s="21"/>
    </row>
    <row r="870" ht="21.75" customHeight="1">
      <c r="A870" s="20">
        <v>46239.0</v>
      </c>
      <c r="B870" s="21" t="s">
        <v>1981</v>
      </c>
      <c r="C870" s="21" t="s">
        <v>307</v>
      </c>
      <c r="D870" s="21" t="s">
        <v>42</v>
      </c>
      <c r="E870" s="21" t="s">
        <v>317</v>
      </c>
      <c r="F870" s="21" t="s">
        <v>602</v>
      </c>
      <c r="G870" s="22">
        <v>1.0</v>
      </c>
      <c r="H870" s="22" t="s">
        <v>73</v>
      </c>
      <c r="I870" s="58">
        <v>92.67</v>
      </c>
      <c r="J870" s="58">
        <v>92.67</v>
      </c>
      <c r="K870" s="21"/>
    </row>
    <row r="871" ht="15.75" customHeight="1"/>
    <row r="872" ht="15.75" customHeight="1">
      <c r="I872" s="59" t="s">
        <v>866</v>
      </c>
      <c r="J872" s="60">
        <f>SUM(J2:J870)</f>
        <v>216653.82</v>
      </c>
      <c r="K872" s="61" t="s">
        <v>104</v>
      </c>
    </row>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41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7"/>
  <cols>
    <col customWidth="1" min="1" max="1" width="3.0"/>
    <col customWidth="1" min="2" max="2" width="112.0"/>
    <col customWidth="1" min="3" max="26" width="8.71"/>
  </cols>
  <sheetData>
    <row r="1">
      <c r="B1" s="6" t="s">
        <v>5</v>
      </c>
    </row>
    <row r="2">
      <c r="B2" s="9" t="s">
        <v>10</v>
      </c>
    </row>
    <row r="3" ht="15.0" customHeight="1">
      <c r="B3" s="10"/>
    </row>
    <row r="4">
      <c r="B4" s="11" t="s">
        <v>26</v>
      </c>
    </row>
    <row r="5" ht="30.0" customHeight="1">
      <c r="B5" s="10" t="s">
        <v>30</v>
      </c>
    </row>
    <row r="6" ht="15.0" customHeight="1">
      <c r="B6" s="10"/>
    </row>
    <row r="7">
      <c r="B7" s="11" t="s">
        <v>33</v>
      </c>
    </row>
    <row r="8" ht="30.0" customHeight="1">
      <c r="B8" s="10" t="s">
        <v>34</v>
      </c>
    </row>
    <row r="9" ht="25.5" customHeight="1">
      <c r="B9" s="10" t="s">
        <v>35</v>
      </c>
    </row>
    <row r="10" ht="25.5" customHeight="1">
      <c r="B10" s="10" t="s">
        <v>37</v>
      </c>
    </row>
    <row r="11" ht="25.5" customHeight="1">
      <c r="B11" s="10" t="s">
        <v>40</v>
      </c>
    </row>
    <row r="12" ht="25.5" customHeight="1">
      <c r="B12" s="10" t="s">
        <v>43</v>
      </c>
    </row>
    <row r="13" ht="25.5" customHeight="1">
      <c r="B13" s="10" t="s">
        <v>47</v>
      </c>
    </row>
    <row r="14" ht="15.0" customHeight="1">
      <c r="B14" s="10"/>
    </row>
    <row r="15">
      <c r="B15" s="11" t="s">
        <v>48</v>
      </c>
    </row>
    <row r="16" ht="30.0" customHeight="1">
      <c r="B16" s="10" t="s">
        <v>50</v>
      </c>
    </row>
    <row r="17" ht="15.0" customHeight="1">
      <c r="B17" s="10"/>
    </row>
    <row r="18">
      <c r="B18" s="11" t="s">
        <v>52</v>
      </c>
    </row>
    <row r="19" ht="30.0" customHeight="1">
      <c r="B19" s="10" t="s">
        <v>53</v>
      </c>
    </row>
    <row r="20" ht="30.0" customHeight="1">
      <c r="B20" s="10" t="s">
        <v>54</v>
      </c>
    </row>
    <row r="21" ht="15.0" customHeight="1">
      <c r="B21" s="10" t="s">
        <v>56</v>
      </c>
    </row>
    <row r="22" ht="15.0" customHeight="1">
      <c r="B22" s="10"/>
    </row>
    <row r="23" ht="15.75" customHeight="1">
      <c r="B23" s="11" t="s">
        <v>58</v>
      </c>
    </row>
    <row r="24" ht="30.0" customHeight="1">
      <c r="B24" s="10" t="s">
        <v>62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7"/>
  <cols>
    <col customWidth="1" min="1" max="1" width="10.0"/>
    <col customWidth="1" min="2" max="2" width="50.0"/>
    <col customWidth="1" min="3" max="3" width="12.0"/>
    <col customWidth="1" min="4" max="4" width="20.0"/>
    <col customWidth="1" min="5" max="5" width="9.0"/>
    <col customWidth="1" min="6" max="6" width="7.0"/>
    <col customWidth="1" min="7" max="7" width="9.0"/>
    <col customWidth="1" min="8" max="8" width="11.0"/>
    <col customWidth="1" min="9" max="9" width="10.0"/>
    <col customWidth="1" min="10" max="11" width="9.0"/>
    <col customWidth="1" min="12" max="13" width="11.0"/>
    <col customWidth="1" min="14" max="14" width="10.0"/>
    <col customWidth="1" min="15" max="15" width="11.0"/>
    <col customWidth="1" min="16" max="16" width="14.0"/>
    <col customWidth="1" min="17" max="17" width="34.0"/>
    <col customWidth="1" min="18" max="26" width="8.71"/>
  </cols>
  <sheetData>
    <row r="1" ht="25.5" customHeight="1">
      <c r="A1" s="29" t="s">
        <v>124</v>
      </c>
      <c r="B1" s="31"/>
      <c r="C1" s="31"/>
      <c r="D1" s="31"/>
      <c r="E1" s="31"/>
      <c r="F1" s="31"/>
      <c r="G1" s="31"/>
      <c r="H1" s="31"/>
      <c r="I1" s="31"/>
      <c r="J1" s="31"/>
      <c r="K1" s="31"/>
      <c r="L1" s="31"/>
      <c r="M1" s="31"/>
      <c r="N1" s="31"/>
      <c r="O1" s="31"/>
      <c r="P1" s="31"/>
      <c r="Q1" s="33"/>
    </row>
    <row r="2" ht="18.0" customHeight="1">
      <c r="A2" s="34" t="s">
        <v>135</v>
      </c>
    </row>
    <row r="4" ht="31.5" customHeight="1">
      <c r="A4" s="35" t="s">
        <v>91</v>
      </c>
      <c r="B4" s="35" t="s">
        <v>15</v>
      </c>
      <c r="C4" s="35" t="s">
        <v>139</v>
      </c>
      <c r="D4" s="35" t="s">
        <v>12</v>
      </c>
      <c r="E4" s="35" t="s">
        <v>20</v>
      </c>
      <c r="F4" s="35" t="s">
        <v>140</v>
      </c>
      <c r="G4" s="35" t="s">
        <v>141</v>
      </c>
      <c r="H4" s="35" t="s">
        <v>142</v>
      </c>
      <c r="I4" s="35" t="s">
        <v>143</v>
      </c>
      <c r="J4" s="35" t="s">
        <v>145</v>
      </c>
      <c r="K4" s="35" t="s">
        <v>146</v>
      </c>
      <c r="L4" s="35" t="s">
        <v>148</v>
      </c>
      <c r="M4" s="35" t="s">
        <v>150</v>
      </c>
      <c r="N4" s="35" t="s">
        <v>151</v>
      </c>
      <c r="O4" s="35" t="s">
        <v>152</v>
      </c>
      <c r="P4" s="35" t="s">
        <v>153</v>
      </c>
      <c r="Q4" s="35" t="s">
        <v>154</v>
      </c>
    </row>
    <row r="5">
      <c r="A5" s="36" t="s">
        <v>155</v>
      </c>
      <c r="B5" s="36" t="s">
        <v>156</v>
      </c>
      <c r="C5" s="36" t="s">
        <v>42</v>
      </c>
      <c r="D5" s="36" t="s">
        <v>157</v>
      </c>
      <c r="E5" s="36" t="s">
        <v>158</v>
      </c>
      <c r="F5" s="36">
        <v>3.0</v>
      </c>
      <c r="G5" s="36">
        <v>80.0</v>
      </c>
      <c r="H5" s="36" t="s">
        <v>160</v>
      </c>
      <c r="I5" s="37">
        <v>0.76</v>
      </c>
      <c r="J5" s="36"/>
      <c r="K5" s="36"/>
      <c r="L5" s="38">
        <v>1.0</v>
      </c>
      <c r="M5" s="38">
        <v>2.0</v>
      </c>
      <c r="N5" s="39"/>
      <c r="O5" s="39"/>
      <c r="P5" s="39"/>
      <c r="Q5" s="39"/>
    </row>
    <row r="6">
      <c r="A6" s="36" t="s">
        <v>173</v>
      </c>
      <c r="B6" s="36" t="s">
        <v>174</v>
      </c>
      <c r="C6" s="36" t="s">
        <v>175</v>
      </c>
      <c r="D6" s="36" t="s">
        <v>176</v>
      </c>
      <c r="E6" s="36" t="s">
        <v>177</v>
      </c>
      <c r="F6" s="36">
        <v>4.0</v>
      </c>
      <c r="G6" s="36">
        <v>90.0</v>
      </c>
      <c r="H6" s="36" t="s">
        <v>178</v>
      </c>
      <c r="I6" s="37">
        <v>6.82</v>
      </c>
      <c r="J6" s="36">
        <v>25.0</v>
      </c>
      <c r="K6" s="36">
        <v>50.0</v>
      </c>
      <c r="L6" s="38">
        <v>7.0</v>
      </c>
      <c r="M6" s="38">
        <v>18.0</v>
      </c>
      <c r="N6" s="39"/>
      <c r="O6" s="39"/>
      <c r="P6" s="39"/>
      <c r="Q6" s="39"/>
    </row>
    <row r="7">
      <c r="A7" s="36" t="s">
        <v>182</v>
      </c>
      <c r="B7" s="36" t="s">
        <v>184</v>
      </c>
      <c r="C7" s="36" t="s">
        <v>175</v>
      </c>
      <c r="D7" s="36" t="s">
        <v>176</v>
      </c>
      <c r="E7" s="36" t="s">
        <v>177</v>
      </c>
      <c r="F7" s="36">
        <v>3.0</v>
      </c>
      <c r="G7" s="36">
        <v>41.0</v>
      </c>
      <c r="H7" s="36" t="s">
        <v>186</v>
      </c>
      <c r="I7" s="37">
        <v>5.19</v>
      </c>
      <c r="J7" s="36">
        <v>6.0</v>
      </c>
      <c r="K7" s="36">
        <v>12.0</v>
      </c>
      <c r="L7" s="38">
        <v>6.0</v>
      </c>
      <c r="M7" s="38">
        <v>13.0</v>
      </c>
      <c r="N7" s="39"/>
      <c r="O7" s="39"/>
      <c r="P7" s="39"/>
      <c r="Q7" s="39"/>
    </row>
    <row r="8">
      <c r="A8" s="36" t="s">
        <v>191</v>
      </c>
      <c r="B8" s="36" t="s">
        <v>192</v>
      </c>
      <c r="C8" s="36" t="s">
        <v>175</v>
      </c>
      <c r="D8" s="36" t="s">
        <v>176</v>
      </c>
      <c r="E8" s="36" t="s">
        <v>177</v>
      </c>
      <c r="F8" s="36">
        <v>2.0</v>
      </c>
      <c r="G8" s="36">
        <v>68.0</v>
      </c>
      <c r="H8" s="36" t="s">
        <v>196</v>
      </c>
      <c r="I8" s="37">
        <v>1.34</v>
      </c>
      <c r="J8" s="36">
        <v>3.0</v>
      </c>
      <c r="K8" s="36">
        <v>4.0</v>
      </c>
      <c r="L8" s="38">
        <v>2.0</v>
      </c>
      <c r="M8" s="38">
        <v>4.0</v>
      </c>
      <c r="N8" s="39"/>
      <c r="O8" s="39"/>
      <c r="P8" s="39"/>
      <c r="Q8" s="39"/>
    </row>
    <row r="9">
      <c r="A9" s="36" t="s">
        <v>202</v>
      </c>
      <c r="B9" s="36" t="s">
        <v>203</v>
      </c>
      <c r="C9" s="36" t="s">
        <v>175</v>
      </c>
      <c r="D9" s="36" t="s">
        <v>176</v>
      </c>
      <c r="E9" s="36" t="s">
        <v>177</v>
      </c>
      <c r="F9" s="36">
        <v>2.0</v>
      </c>
      <c r="G9" s="36">
        <v>30.0</v>
      </c>
      <c r="H9" s="36" t="s">
        <v>205</v>
      </c>
      <c r="I9" s="37">
        <v>1.01</v>
      </c>
      <c r="J9" s="36">
        <v>1.0</v>
      </c>
      <c r="K9" s="36">
        <v>2.0</v>
      </c>
      <c r="L9" s="38">
        <v>2.0</v>
      </c>
      <c r="M9" s="38">
        <v>3.0</v>
      </c>
      <c r="N9" s="39"/>
      <c r="O9" s="39"/>
      <c r="P9" s="39"/>
      <c r="Q9" s="39"/>
    </row>
    <row r="10">
      <c r="A10" s="36" t="s">
        <v>206</v>
      </c>
      <c r="B10" s="36" t="s">
        <v>207</v>
      </c>
      <c r="C10" s="36" t="s">
        <v>175</v>
      </c>
      <c r="D10" s="36" t="s">
        <v>176</v>
      </c>
      <c r="E10" s="36" t="s">
        <v>177</v>
      </c>
      <c r="F10" s="36">
        <v>6.0</v>
      </c>
      <c r="G10" s="36">
        <v>57.0</v>
      </c>
      <c r="H10" s="36" t="s">
        <v>208</v>
      </c>
      <c r="I10" s="37">
        <v>0.89</v>
      </c>
      <c r="J10" s="36">
        <v>3.0</v>
      </c>
      <c r="K10" s="36">
        <v>6.0</v>
      </c>
      <c r="L10" s="38">
        <v>1.0</v>
      </c>
      <c r="M10" s="38">
        <v>3.0</v>
      </c>
      <c r="N10" s="39"/>
      <c r="O10" s="39"/>
      <c r="P10" s="39"/>
      <c r="Q10" s="39"/>
    </row>
    <row r="11">
      <c r="A11" s="36" t="s">
        <v>211</v>
      </c>
      <c r="B11" s="36" t="s">
        <v>213</v>
      </c>
      <c r="C11" s="36" t="s">
        <v>175</v>
      </c>
      <c r="D11" s="36" t="s">
        <v>176</v>
      </c>
      <c r="E11" s="36" t="s">
        <v>177</v>
      </c>
      <c r="F11" s="36">
        <v>2.0</v>
      </c>
      <c r="G11" s="36">
        <v>103.0</v>
      </c>
      <c r="H11" s="36" t="s">
        <v>214</v>
      </c>
      <c r="I11" s="37">
        <v>0.89</v>
      </c>
      <c r="J11" s="36">
        <v>3.0</v>
      </c>
      <c r="K11" s="36">
        <v>6.0</v>
      </c>
      <c r="L11" s="38">
        <v>1.0</v>
      </c>
      <c r="M11" s="38">
        <v>3.0</v>
      </c>
      <c r="N11" s="39"/>
      <c r="O11" s="39"/>
      <c r="P11" s="39"/>
      <c r="Q11" s="39"/>
    </row>
    <row r="12">
      <c r="A12" s="36" t="s">
        <v>218</v>
      </c>
      <c r="B12" s="36" t="s">
        <v>220</v>
      </c>
      <c r="C12" s="36" t="s">
        <v>175</v>
      </c>
      <c r="D12" s="36" t="s">
        <v>176</v>
      </c>
      <c r="E12" s="36" t="s">
        <v>177</v>
      </c>
      <c r="F12" s="36">
        <v>9.0</v>
      </c>
      <c r="G12" s="36">
        <v>81.0</v>
      </c>
      <c r="H12" s="36" t="s">
        <v>223</v>
      </c>
      <c r="I12" s="37">
        <v>0.71</v>
      </c>
      <c r="J12" s="36">
        <v>2.0</v>
      </c>
      <c r="K12" s="36">
        <v>4.0</v>
      </c>
      <c r="L12" s="38">
        <v>1.0</v>
      </c>
      <c r="M12" s="38">
        <v>2.0</v>
      </c>
      <c r="N12" s="39"/>
      <c r="O12" s="39"/>
      <c r="P12" s="39"/>
      <c r="Q12" s="39"/>
    </row>
    <row r="13">
      <c r="A13" s="36" t="s">
        <v>230</v>
      </c>
      <c r="B13" s="36" t="s">
        <v>231</v>
      </c>
      <c r="C13" s="36" t="s">
        <v>237</v>
      </c>
      <c r="D13" s="36" t="s">
        <v>157</v>
      </c>
      <c r="E13" s="36" t="s">
        <v>239</v>
      </c>
      <c r="F13" s="36">
        <v>3.0</v>
      </c>
      <c r="G13" s="36">
        <v>89.0</v>
      </c>
      <c r="H13" s="36" t="s">
        <v>242</v>
      </c>
      <c r="I13" s="37">
        <v>0.68</v>
      </c>
      <c r="J13" s="36"/>
      <c r="K13" s="36"/>
      <c r="L13" s="38">
        <v>1.0</v>
      </c>
      <c r="M13" s="38">
        <v>2.0</v>
      </c>
      <c r="N13" s="39"/>
      <c r="O13" s="39"/>
      <c r="P13" s="39"/>
      <c r="Q13" s="39"/>
    </row>
    <row r="14">
      <c r="A14" s="36" t="s">
        <v>245</v>
      </c>
      <c r="B14" s="36" t="s">
        <v>246</v>
      </c>
      <c r="C14" s="36" t="s">
        <v>237</v>
      </c>
      <c r="D14" s="36" t="s">
        <v>157</v>
      </c>
      <c r="E14" s="36" t="s">
        <v>248</v>
      </c>
      <c r="F14" s="36">
        <v>5.0</v>
      </c>
      <c r="G14" s="36">
        <v>50.0</v>
      </c>
      <c r="H14" s="36" t="s">
        <v>160</v>
      </c>
      <c r="I14" s="37">
        <v>0.64</v>
      </c>
      <c r="J14" s="36"/>
      <c r="K14" s="36"/>
      <c r="L14" s="38">
        <v>1.0</v>
      </c>
      <c r="M14" s="38">
        <v>2.0</v>
      </c>
      <c r="N14" s="39"/>
      <c r="O14" s="39"/>
      <c r="P14" s="39"/>
      <c r="Q14" s="39"/>
    </row>
    <row r="15">
      <c r="A15" s="36" t="s">
        <v>254</v>
      </c>
      <c r="B15" s="36" t="s">
        <v>256</v>
      </c>
      <c r="C15" s="36" t="s">
        <v>175</v>
      </c>
      <c r="D15" s="36" t="s">
        <v>176</v>
      </c>
      <c r="E15" s="36" t="s">
        <v>177</v>
      </c>
      <c r="F15" s="36">
        <v>6.0</v>
      </c>
      <c r="G15" s="36">
        <v>50.0</v>
      </c>
      <c r="H15" s="36" t="s">
        <v>260</v>
      </c>
      <c r="I15" s="37">
        <v>0.56</v>
      </c>
      <c r="J15" s="36">
        <v>2.0</v>
      </c>
      <c r="K15" s="36">
        <v>4.0</v>
      </c>
      <c r="L15" s="38">
        <v>1.0</v>
      </c>
      <c r="M15" s="38">
        <v>2.0</v>
      </c>
      <c r="N15" s="39"/>
      <c r="O15" s="39"/>
      <c r="P15" s="39"/>
      <c r="Q15" s="39"/>
    </row>
    <row r="16">
      <c r="A16" s="36" t="s">
        <v>265</v>
      </c>
      <c r="B16" s="36" t="s">
        <v>225</v>
      </c>
      <c r="C16" s="36" t="s">
        <v>175</v>
      </c>
      <c r="D16" s="36" t="s">
        <v>176</v>
      </c>
      <c r="E16" s="36" t="s">
        <v>177</v>
      </c>
      <c r="F16" s="36">
        <v>10.0</v>
      </c>
      <c r="G16" s="36">
        <v>49.0</v>
      </c>
      <c r="H16" s="36" t="s">
        <v>178</v>
      </c>
      <c r="I16" s="37">
        <v>0.48</v>
      </c>
      <c r="J16" s="36">
        <v>1.0</v>
      </c>
      <c r="K16" s="36">
        <v>2.0</v>
      </c>
      <c r="L16" s="38">
        <v>1.0</v>
      </c>
      <c r="M16" s="38">
        <v>2.0</v>
      </c>
      <c r="N16" s="39"/>
      <c r="O16" s="39"/>
      <c r="P16" s="39"/>
      <c r="Q16" s="39"/>
    </row>
    <row r="17">
      <c r="A17" s="36" t="s">
        <v>269</v>
      </c>
      <c r="B17" s="36" t="s">
        <v>270</v>
      </c>
      <c r="C17" s="36" t="s">
        <v>271</v>
      </c>
      <c r="D17" s="36" t="s">
        <v>157</v>
      </c>
      <c r="E17" s="36" t="s">
        <v>272</v>
      </c>
      <c r="F17" s="36">
        <v>2.0</v>
      </c>
      <c r="G17" s="36">
        <v>160.0</v>
      </c>
      <c r="H17" s="36" t="s">
        <v>160</v>
      </c>
      <c r="I17" s="37">
        <v>0.38</v>
      </c>
      <c r="J17" s="36"/>
      <c r="K17" s="36"/>
      <c r="L17" s="38">
        <v>1.0</v>
      </c>
      <c r="M17" s="38">
        <v>2.0</v>
      </c>
      <c r="N17" s="39"/>
      <c r="O17" s="39"/>
      <c r="P17" s="39"/>
      <c r="Q17" s="39"/>
    </row>
    <row r="18">
      <c r="A18" s="36" t="s">
        <v>280</v>
      </c>
      <c r="B18" s="36" t="s">
        <v>281</v>
      </c>
      <c r="C18" s="36" t="s">
        <v>175</v>
      </c>
      <c r="D18" s="36" t="s">
        <v>176</v>
      </c>
      <c r="E18" s="36" t="s">
        <v>177</v>
      </c>
      <c r="F18" s="36">
        <v>6.0</v>
      </c>
      <c r="G18" s="36">
        <v>121.0</v>
      </c>
      <c r="H18" s="36" t="s">
        <v>186</v>
      </c>
      <c r="I18" s="37">
        <v>0.37</v>
      </c>
      <c r="J18" s="36">
        <v>2.0</v>
      </c>
      <c r="K18" s="36">
        <v>4.0</v>
      </c>
      <c r="L18" s="38">
        <v>1.0</v>
      </c>
      <c r="M18" s="38">
        <v>2.0</v>
      </c>
      <c r="N18" s="39"/>
      <c r="O18" s="39"/>
      <c r="P18" s="39"/>
      <c r="Q18" s="39"/>
    </row>
    <row r="19">
      <c r="A19" s="36" t="s">
        <v>286</v>
      </c>
      <c r="B19" s="36" t="s">
        <v>287</v>
      </c>
      <c r="C19" s="36" t="s">
        <v>175</v>
      </c>
      <c r="D19" s="36" t="s">
        <v>176</v>
      </c>
      <c r="E19" s="36" t="s">
        <v>177</v>
      </c>
      <c r="F19" s="36">
        <v>2.0</v>
      </c>
      <c r="G19" s="36">
        <v>208.0</v>
      </c>
      <c r="H19" s="36" t="s">
        <v>290</v>
      </c>
      <c r="I19" s="37">
        <v>0.29</v>
      </c>
      <c r="J19" s="36">
        <v>2.0</v>
      </c>
      <c r="K19" s="36">
        <v>4.0</v>
      </c>
      <c r="L19" s="38">
        <v>1.0</v>
      </c>
      <c r="M19" s="38">
        <v>2.0</v>
      </c>
      <c r="N19" s="39"/>
      <c r="O19" s="39"/>
      <c r="P19" s="39"/>
      <c r="Q19" s="39"/>
    </row>
    <row r="20">
      <c r="A20" s="36" t="s">
        <v>295</v>
      </c>
      <c r="B20" s="36" t="s">
        <v>297</v>
      </c>
      <c r="C20" s="36" t="s">
        <v>271</v>
      </c>
      <c r="D20" s="36" t="s">
        <v>157</v>
      </c>
      <c r="E20" s="36" t="s">
        <v>298</v>
      </c>
      <c r="F20" s="36">
        <v>2.0</v>
      </c>
      <c r="G20" s="36">
        <v>126.0</v>
      </c>
      <c r="H20" s="36" t="s">
        <v>299</v>
      </c>
      <c r="I20" s="37">
        <v>0.24</v>
      </c>
      <c r="J20" s="36"/>
      <c r="K20" s="36"/>
      <c r="L20" s="38">
        <v>1.0</v>
      </c>
      <c r="M20" s="38">
        <v>2.0</v>
      </c>
      <c r="N20" s="39"/>
      <c r="O20" s="39"/>
      <c r="P20" s="39"/>
      <c r="Q20" s="39"/>
    </row>
    <row r="21" ht="15.75" customHeight="1">
      <c r="A21" s="36" t="s">
        <v>300</v>
      </c>
      <c r="B21" s="36" t="s">
        <v>301</v>
      </c>
      <c r="C21" s="36" t="s">
        <v>175</v>
      </c>
      <c r="D21" s="36" t="s">
        <v>176</v>
      </c>
      <c r="E21" s="36" t="s">
        <v>177</v>
      </c>
      <c r="F21" s="36">
        <v>2.0</v>
      </c>
      <c r="G21" s="36">
        <v>133.0</v>
      </c>
      <c r="H21" s="36" t="s">
        <v>186</v>
      </c>
      <c r="I21" s="37">
        <v>0.23</v>
      </c>
      <c r="J21" s="36">
        <v>1.0</v>
      </c>
      <c r="K21" s="36">
        <v>2.0</v>
      </c>
      <c r="L21" s="38">
        <v>1.0</v>
      </c>
      <c r="M21" s="38">
        <v>2.0</v>
      </c>
      <c r="N21" s="39"/>
      <c r="O21" s="39"/>
      <c r="P21" s="39"/>
      <c r="Q21" s="39"/>
    </row>
    <row r="22" ht="15.75" customHeight="1">
      <c r="A22" s="36" t="s">
        <v>302</v>
      </c>
      <c r="B22" s="36" t="s">
        <v>304</v>
      </c>
      <c r="C22" s="36" t="s">
        <v>175</v>
      </c>
      <c r="D22" s="36" t="s">
        <v>176</v>
      </c>
      <c r="E22" s="36" t="s">
        <v>177</v>
      </c>
      <c r="F22" s="36">
        <v>3.0</v>
      </c>
      <c r="G22" s="36">
        <v>233.0</v>
      </c>
      <c r="H22" s="36" t="s">
        <v>306</v>
      </c>
      <c r="I22" s="37">
        <v>0.13</v>
      </c>
      <c r="J22" s="36">
        <v>1.0</v>
      </c>
      <c r="K22" s="36">
        <v>2.0</v>
      </c>
      <c r="L22" s="38">
        <v>1.0</v>
      </c>
      <c r="M22" s="38">
        <v>2.0</v>
      </c>
      <c r="N22" s="39"/>
      <c r="O22" s="39"/>
      <c r="P22" s="39"/>
      <c r="Q22" s="39"/>
    </row>
    <row r="23" ht="15.75" customHeight="1">
      <c r="A23" s="36" t="s">
        <v>310</v>
      </c>
      <c r="B23" s="36" t="s">
        <v>311</v>
      </c>
      <c r="C23" s="36" t="s">
        <v>271</v>
      </c>
      <c r="D23" s="36" t="s">
        <v>157</v>
      </c>
      <c r="E23" s="36" t="s">
        <v>314</v>
      </c>
      <c r="F23" s="36">
        <v>2.0</v>
      </c>
      <c r="G23" s="36">
        <v>228.0</v>
      </c>
      <c r="H23" s="36" t="s">
        <v>316</v>
      </c>
      <c r="I23" s="37">
        <v>0.13</v>
      </c>
      <c r="J23" s="36"/>
      <c r="K23" s="36"/>
      <c r="L23" s="38">
        <v>1.0</v>
      </c>
      <c r="M23" s="38">
        <v>2.0</v>
      </c>
      <c r="N23" s="39"/>
      <c r="O23" s="39"/>
      <c r="P23" s="39"/>
      <c r="Q23" s="39"/>
    </row>
    <row r="24" ht="15.75" customHeight="1">
      <c r="A24" s="36" t="s">
        <v>319</v>
      </c>
      <c r="B24" s="36" t="s">
        <v>320</v>
      </c>
      <c r="C24" s="36" t="s">
        <v>175</v>
      </c>
      <c r="D24" s="36" t="s">
        <v>176</v>
      </c>
      <c r="E24" s="36" t="s">
        <v>177</v>
      </c>
      <c r="F24" s="36">
        <v>3.0</v>
      </c>
      <c r="G24" s="36">
        <v>308.0</v>
      </c>
      <c r="H24" s="36" t="s">
        <v>322</v>
      </c>
      <c r="I24" s="37">
        <v>0.1</v>
      </c>
      <c r="J24" s="36">
        <v>1.0</v>
      </c>
      <c r="K24" s="36">
        <v>2.0</v>
      </c>
      <c r="L24" s="38">
        <v>1.0</v>
      </c>
      <c r="M24" s="38">
        <v>2.0</v>
      </c>
      <c r="N24" s="39"/>
      <c r="O24" s="39"/>
      <c r="P24" s="39"/>
      <c r="Q24" s="39"/>
    </row>
    <row r="25" ht="15.75" customHeight="1">
      <c r="A25" s="36" t="s">
        <v>324</v>
      </c>
      <c r="B25" s="36" t="s">
        <v>326</v>
      </c>
      <c r="C25" s="36" t="s">
        <v>42</v>
      </c>
      <c r="D25" s="36" t="s">
        <v>157</v>
      </c>
      <c r="E25" s="36" t="s">
        <v>327</v>
      </c>
      <c r="F25" s="36">
        <v>2.0</v>
      </c>
      <c r="G25" s="36">
        <v>326.0</v>
      </c>
      <c r="H25" s="36" t="s">
        <v>160</v>
      </c>
      <c r="I25" s="37">
        <v>0.09</v>
      </c>
      <c r="J25" s="36"/>
      <c r="K25" s="36"/>
      <c r="L25" s="38">
        <v>1.0</v>
      </c>
      <c r="M25" s="38">
        <v>2.0</v>
      </c>
      <c r="N25" s="39"/>
      <c r="O25" s="39"/>
      <c r="P25" s="39"/>
      <c r="Q25" s="39"/>
    </row>
    <row r="26" ht="15.75" customHeight="1">
      <c r="A26" s="36" t="s">
        <v>333</v>
      </c>
      <c r="B26" s="36" t="s">
        <v>334</v>
      </c>
      <c r="C26" s="36" t="s">
        <v>175</v>
      </c>
      <c r="D26" s="36" t="s">
        <v>176</v>
      </c>
      <c r="E26" s="36" t="s">
        <v>177</v>
      </c>
      <c r="F26" s="36">
        <v>2.0</v>
      </c>
      <c r="G26" s="36">
        <v>548.0</v>
      </c>
      <c r="H26" s="36" t="s">
        <v>322</v>
      </c>
      <c r="I26" s="37">
        <v>0.06</v>
      </c>
      <c r="J26" s="36">
        <v>1.0</v>
      </c>
      <c r="K26" s="36">
        <v>2.0</v>
      </c>
      <c r="L26" s="38">
        <v>1.0</v>
      </c>
      <c r="M26" s="38">
        <v>2.0</v>
      </c>
      <c r="N26" s="39"/>
      <c r="O26" s="39"/>
      <c r="P26" s="39"/>
      <c r="Q26" s="39"/>
    </row>
    <row r="27" ht="15.75" customHeight="1">
      <c r="A27" s="36" t="s">
        <v>338</v>
      </c>
      <c r="B27" s="36" t="s">
        <v>340</v>
      </c>
      <c r="C27" s="36" t="s">
        <v>42</v>
      </c>
      <c r="D27" s="36" t="s">
        <v>157</v>
      </c>
      <c r="E27" s="36" t="s">
        <v>341</v>
      </c>
      <c r="F27" s="36">
        <v>6.0</v>
      </c>
      <c r="G27" s="36">
        <v>37.0</v>
      </c>
      <c r="H27" s="36" t="s">
        <v>336</v>
      </c>
      <c r="I27" s="37">
        <v>4.49</v>
      </c>
      <c r="J27" s="36"/>
      <c r="K27" s="36"/>
      <c r="L27" s="38">
        <v>5.0</v>
      </c>
      <c r="M27" s="38">
        <v>12.0</v>
      </c>
      <c r="N27" s="39"/>
      <c r="O27" s="39"/>
      <c r="P27" s="39"/>
      <c r="Q27" s="39"/>
    </row>
    <row r="28" ht="15.75" customHeight="1">
      <c r="A28" s="36" t="s">
        <v>346</v>
      </c>
      <c r="B28" s="36" t="s">
        <v>348</v>
      </c>
      <c r="C28" s="36" t="s">
        <v>349</v>
      </c>
      <c r="D28" s="36" t="s">
        <v>157</v>
      </c>
      <c r="E28" s="36" t="s">
        <v>350</v>
      </c>
      <c r="F28" s="36">
        <v>2.0</v>
      </c>
      <c r="G28" s="36">
        <v>125.0</v>
      </c>
      <c r="H28" s="36" t="s">
        <v>352</v>
      </c>
      <c r="I28" s="37">
        <v>0.97</v>
      </c>
      <c r="J28" s="36"/>
      <c r="K28" s="36"/>
      <c r="L28" s="38">
        <v>1.0</v>
      </c>
      <c r="M28" s="38">
        <v>3.0</v>
      </c>
      <c r="N28" s="39"/>
      <c r="O28" s="39"/>
      <c r="P28" s="39"/>
      <c r="Q28" s="39"/>
    </row>
    <row r="29" ht="15.75" customHeight="1">
      <c r="A29" s="36" t="s">
        <v>353</v>
      </c>
      <c r="B29" s="36" t="s">
        <v>354</v>
      </c>
      <c r="C29" s="36" t="s">
        <v>271</v>
      </c>
      <c r="D29" s="36" t="s">
        <v>157</v>
      </c>
      <c r="E29" s="36" t="s">
        <v>356</v>
      </c>
      <c r="F29" s="36">
        <v>3.0</v>
      </c>
      <c r="G29" s="36">
        <v>88.0</v>
      </c>
      <c r="H29" s="36" t="s">
        <v>357</v>
      </c>
      <c r="I29" s="37">
        <v>0.69</v>
      </c>
      <c r="J29" s="36"/>
      <c r="K29" s="36"/>
      <c r="L29" s="38">
        <v>1.0</v>
      </c>
      <c r="M29" s="38">
        <v>2.0</v>
      </c>
      <c r="N29" s="39"/>
      <c r="O29" s="39"/>
      <c r="P29" s="39"/>
      <c r="Q29" s="39"/>
    </row>
    <row r="30" ht="15.75" customHeight="1">
      <c r="A30" s="36" t="s">
        <v>361</v>
      </c>
      <c r="B30" s="36" t="s">
        <v>362</v>
      </c>
      <c r="C30" s="36" t="s">
        <v>271</v>
      </c>
      <c r="D30" s="36" t="s">
        <v>157</v>
      </c>
      <c r="E30" s="36" t="s">
        <v>363</v>
      </c>
      <c r="F30" s="36">
        <v>4.0</v>
      </c>
      <c r="G30" s="36">
        <v>44.0</v>
      </c>
      <c r="H30" s="36" t="s">
        <v>365</v>
      </c>
      <c r="I30" s="37">
        <v>0.6</v>
      </c>
      <c r="J30" s="36"/>
      <c r="K30" s="36"/>
      <c r="L30" s="38">
        <v>1.0</v>
      </c>
      <c r="M30" s="38">
        <v>2.0</v>
      </c>
      <c r="N30" s="39"/>
      <c r="O30" s="39"/>
      <c r="P30" s="39"/>
      <c r="Q30" s="39"/>
    </row>
    <row r="31" ht="15.75" customHeight="1">
      <c r="A31" s="36" t="s">
        <v>368</v>
      </c>
      <c r="B31" s="36" t="s">
        <v>369</v>
      </c>
      <c r="C31" s="36" t="s">
        <v>237</v>
      </c>
      <c r="D31" s="36" t="s">
        <v>157</v>
      </c>
      <c r="E31" s="36" t="s">
        <v>372</v>
      </c>
      <c r="F31" s="36">
        <v>4.0</v>
      </c>
      <c r="G31" s="36">
        <v>96.0</v>
      </c>
      <c r="H31" s="36" t="s">
        <v>357</v>
      </c>
      <c r="I31" s="37">
        <v>0.35</v>
      </c>
      <c r="J31" s="36"/>
      <c r="K31" s="36"/>
      <c r="L31" s="38">
        <v>1.0</v>
      </c>
      <c r="M31" s="38">
        <v>2.0</v>
      </c>
      <c r="N31" s="39"/>
      <c r="O31" s="39"/>
      <c r="P31" s="39"/>
      <c r="Q31" s="39"/>
    </row>
    <row r="32" ht="15.75" customHeight="1">
      <c r="A32" s="36" t="s">
        <v>378</v>
      </c>
      <c r="B32" s="36" t="s">
        <v>379</v>
      </c>
      <c r="C32" s="36" t="s">
        <v>237</v>
      </c>
      <c r="D32" s="36" t="s">
        <v>157</v>
      </c>
      <c r="E32" s="36" t="s">
        <v>239</v>
      </c>
      <c r="F32" s="36">
        <v>2.0</v>
      </c>
      <c r="G32" s="36">
        <v>100.0</v>
      </c>
      <c r="H32" s="36" t="s">
        <v>382</v>
      </c>
      <c r="I32" s="37">
        <v>0.3</v>
      </c>
      <c r="J32" s="36"/>
      <c r="K32" s="36"/>
      <c r="L32" s="38">
        <v>1.0</v>
      </c>
      <c r="M32" s="38">
        <v>2.0</v>
      </c>
      <c r="N32" s="39"/>
      <c r="O32" s="39"/>
      <c r="P32" s="39"/>
      <c r="Q32" s="39"/>
    </row>
    <row r="33" ht="15.75" customHeight="1">
      <c r="A33" s="36" t="s">
        <v>385</v>
      </c>
      <c r="B33" s="36" t="s">
        <v>387</v>
      </c>
      <c r="C33" s="36" t="s">
        <v>237</v>
      </c>
      <c r="D33" s="36" t="s">
        <v>157</v>
      </c>
      <c r="E33" s="36" t="s">
        <v>388</v>
      </c>
      <c r="F33" s="36">
        <v>2.0</v>
      </c>
      <c r="G33" s="36">
        <v>100.0</v>
      </c>
      <c r="H33" s="36" t="s">
        <v>382</v>
      </c>
      <c r="I33" s="37">
        <v>0.3</v>
      </c>
      <c r="J33" s="36"/>
      <c r="K33" s="36"/>
      <c r="L33" s="38">
        <v>1.0</v>
      </c>
      <c r="M33" s="38">
        <v>2.0</v>
      </c>
      <c r="N33" s="39"/>
      <c r="O33" s="39"/>
      <c r="P33" s="39"/>
      <c r="Q33" s="39"/>
    </row>
    <row r="34" ht="15.75" customHeight="1">
      <c r="A34" s="36" t="s">
        <v>392</v>
      </c>
      <c r="B34" s="36" t="s">
        <v>393</v>
      </c>
      <c r="C34" s="36" t="s">
        <v>237</v>
      </c>
      <c r="D34" s="36" t="s">
        <v>157</v>
      </c>
      <c r="E34" s="36" t="s">
        <v>282</v>
      </c>
      <c r="F34" s="36">
        <v>2.0</v>
      </c>
      <c r="G34" s="36">
        <v>100.0</v>
      </c>
      <c r="H34" s="36" t="s">
        <v>382</v>
      </c>
      <c r="I34" s="37">
        <v>0.3</v>
      </c>
      <c r="J34" s="36"/>
      <c r="K34" s="36"/>
      <c r="L34" s="38">
        <v>1.0</v>
      </c>
      <c r="M34" s="38">
        <v>2.0</v>
      </c>
      <c r="N34" s="39"/>
      <c r="O34" s="39"/>
      <c r="P34" s="39"/>
      <c r="Q34" s="39"/>
    </row>
    <row r="35" ht="15.75" customHeight="1">
      <c r="A35" s="36" t="s">
        <v>396</v>
      </c>
      <c r="B35" s="36" t="s">
        <v>397</v>
      </c>
      <c r="C35" s="36" t="s">
        <v>237</v>
      </c>
      <c r="D35" s="36" t="s">
        <v>157</v>
      </c>
      <c r="E35" s="36" t="s">
        <v>282</v>
      </c>
      <c r="F35" s="36">
        <v>2.0</v>
      </c>
      <c r="G35" s="36">
        <v>142.0</v>
      </c>
      <c r="H35" s="36" t="s">
        <v>357</v>
      </c>
      <c r="I35" s="37">
        <v>0.21</v>
      </c>
      <c r="J35" s="36"/>
      <c r="K35" s="36"/>
      <c r="L35" s="38">
        <v>1.0</v>
      </c>
      <c r="M35" s="38">
        <v>2.0</v>
      </c>
      <c r="N35" s="39"/>
      <c r="O35" s="39"/>
      <c r="P35" s="39"/>
      <c r="Q35" s="39"/>
    </row>
    <row r="36" ht="15.75" customHeight="1">
      <c r="A36" s="36" t="s">
        <v>401</v>
      </c>
      <c r="B36" s="36" t="s">
        <v>402</v>
      </c>
      <c r="C36" s="36" t="s">
        <v>42</v>
      </c>
      <c r="D36" s="36" t="s">
        <v>41</v>
      </c>
      <c r="E36" s="36" t="s">
        <v>403</v>
      </c>
      <c r="F36" s="36">
        <v>2.0</v>
      </c>
      <c r="G36" s="36">
        <v>38.0</v>
      </c>
      <c r="H36" s="36" t="s">
        <v>405</v>
      </c>
      <c r="I36" s="37">
        <v>160.0</v>
      </c>
      <c r="J36" s="36"/>
      <c r="K36" s="36"/>
      <c r="L36" s="38">
        <v>160.0</v>
      </c>
      <c r="M36" s="38">
        <v>400.0</v>
      </c>
      <c r="N36" s="39"/>
      <c r="O36" s="39"/>
      <c r="P36" s="39"/>
      <c r="Q36" s="39"/>
    </row>
    <row r="37" ht="15.75" customHeight="1">
      <c r="A37" s="36" t="s">
        <v>408</v>
      </c>
      <c r="B37" s="36" t="s">
        <v>79</v>
      </c>
      <c r="C37" s="36" t="s">
        <v>42</v>
      </c>
      <c r="D37" s="36" t="s">
        <v>78</v>
      </c>
      <c r="E37" s="36" t="s">
        <v>403</v>
      </c>
      <c r="F37" s="36">
        <v>4.0</v>
      </c>
      <c r="G37" s="36">
        <v>18.0</v>
      </c>
      <c r="H37" s="36" t="s">
        <v>222</v>
      </c>
      <c r="I37" s="37">
        <v>114.45</v>
      </c>
      <c r="J37" s="36"/>
      <c r="K37" s="36"/>
      <c r="L37" s="38">
        <v>115.0</v>
      </c>
      <c r="M37" s="38">
        <v>287.0</v>
      </c>
      <c r="N37" s="39"/>
      <c r="O37" s="39"/>
      <c r="P37" s="39"/>
      <c r="Q37" s="39"/>
    </row>
    <row r="38" ht="15.75" customHeight="1">
      <c r="A38" s="36" t="s">
        <v>412</v>
      </c>
      <c r="B38" s="36" t="s">
        <v>128</v>
      </c>
      <c r="C38" s="36" t="s">
        <v>42</v>
      </c>
      <c r="D38" s="36" t="s">
        <v>78</v>
      </c>
      <c r="E38" s="36" t="s">
        <v>403</v>
      </c>
      <c r="F38" s="36">
        <v>2.0</v>
      </c>
      <c r="G38" s="36">
        <v>33.0</v>
      </c>
      <c r="H38" s="36" t="s">
        <v>414</v>
      </c>
      <c r="I38" s="37">
        <v>64.48</v>
      </c>
      <c r="J38" s="36"/>
      <c r="K38" s="36"/>
      <c r="L38" s="38">
        <v>65.0</v>
      </c>
      <c r="M38" s="38">
        <v>162.0</v>
      </c>
      <c r="N38" s="39"/>
      <c r="O38" s="39"/>
      <c r="P38" s="39"/>
      <c r="Q38" s="39"/>
    </row>
    <row r="39" ht="15.75" customHeight="1">
      <c r="A39" s="36" t="s">
        <v>415</v>
      </c>
      <c r="B39" s="36" t="s">
        <v>189</v>
      </c>
      <c r="C39" s="36" t="s">
        <v>42</v>
      </c>
      <c r="D39" s="36" t="s">
        <v>78</v>
      </c>
      <c r="E39" s="36" t="s">
        <v>403</v>
      </c>
      <c r="F39" s="36">
        <v>2.0</v>
      </c>
      <c r="G39" s="36">
        <v>31.0</v>
      </c>
      <c r="H39" s="36" t="s">
        <v>222</v>
      </c>
      <c r="I39" s="37">
        <v>62.76</v>
      </c>
      <c r="J39" s="36"/>
      <c r="K39" s="36"/>
      <c r="L39" s="38">
        <v>63.0</v>
      </c>
      <c r="M39" s="38">
        <v>157.0</v>
      </c>
      <c r="N39" s="39"/>
      <c r="O39" s="39"/>
      <c r="P39" s="39"/>
      <c r="Q39" s="39"/>
    </row>
    <row r="40" ht="15.75" customHeight="1">
      <c r="A40" s="36" t="s">
        <v>417</v>
      </c>
      <c r="B40" s="36" t="s">
        <v>119</v>
      </c>
      <c r="C40" s="36" t="s">
        <v>42</v>
      </c>
      <c r="D40" s="36" t="s">
        <v>78</v>
      </c>
      <c r="E40" s="36" t="s">
        <v>403</v>
      </c>
      <c r="F40" s="36">
        <v>3.0</v>
      </c>
      <c r="G40" s="36">
        <v>22.0</v>
      </c>
      <c r="H40" s="36" t="s">
        <v>222</v>
      </c>
      <c r="I40" s="37">
        <v>10.36</v>
      </c>
      <c r="J40" s="36"/>
      <c r="K40" s="36"/>
      <c r="L40" s="38">
        <v>11.0</v>
      </c>
      <c r="M40" s="38">
        <v>26.0</v>
      </c>
      <c r="N40" s="39"/>
      <c r="O40" s="39"/>
      <c r="P40" s="39"/>
      <c r="Q40" s="39"/>
    </row>
    <row r="41" ht="15.75" customHeight="1">
      <c r="A41" s="36" t="s">
        <v>419</v>
      </c>
      <c r="B41" s="36" t="s">
        <v>217</v>
      </c>
      <c r="C41" s="36" t="s">
        <v>42</v>
      </c>
      <c r="D41" s="36" t="s">
        <v>78</v>
      </c>
      <c r="E41" s="36" t="s">
        <v>403</v>
      </c>
      <c r="F41" s="36">
        <v>2.0</v>
      </c>
      <c r="G41" s="36">
        <v>16.0</v>
      </c>
      <c r="H41" s="36" t="s">
        <v>420</v>
      </c>
      <c r="I41" s="37">
        <v>9.5</v>
      </c>
      <c r="J41" s="36"/>
      <c r="K41" s="36"/>
      <c r="L41" s="38">
        <v>10.0</v>
      </c>
      <c r="M41" s="38">
        <v>24.0</v>
      </c>
      <c r="N41" s="39"/>
      <c r="O41" s="39"/>
      <c r="P41" s="39"/>
      <c r="Q41" s="39"/>
    </row>
    <row r="42" ht="15.75" customHeight="1">
      <c r="A42" s="36" t="s">
        <v>421</v>
      </c>
      <c r="B42" s="36" t="s">
        <v>122</v>
      </c>
      <c r="C42" s="36" t="s">
        <v>42</v>
      </c>
      <c r="D42" s="36" t="s">
        <v>78</v>
      </c>
      <c r="E42" s="36" t="s">
        <v>403</v>
      </c>
      <c r="F42" s="36">
        <v>2.0</v>
      </c>
      <c r="G42" s="36">
        <v>37.0</v>
      </c>
      <c r="H42" s="36" t="s">
        <v>422</v>
      </c>
      <c r="I42" s="37">
        <v>8.22</v>
      </c>
      <c r="J42" s="36"/>
      <c r="K42" s="36"/>
      <c r="L42" s="38">
        <v>9.0</v>
      </c>
      <c r="M42" s="38">
        <v>21.0</v>
      </c>
      <c r="N42" s="39"/>
      <c r="O42" s="39"/>
      <c r="P42" s="39"/>
      <c r="Q42" s="39"/>
    </row>
    <row r="43" ht="15.75" customHeight="1">
      <c r="A43" s="36" t="s">
        <v>424</v>
      </c>
      <c r="B43" s="36" t="s">
        <v>425</v>
      </c>
      <c r="C43" s="36" t="s">
        <v>271</v>
      </c>
      <c r="D43" s="36" t="s">
        <v>157</v>
      </c>
      <c r="E43" s="36" t="s">
        <v>363</v>
      </c>
      <c r="F43" s="36">
        <v>2.0</v>
      </c>
      <c r="G43" s="36">
        <v>94.0</v>
      </c>
      <c r="H43" s="36" t="s">
        <v>386</v>
      </c>
      <c r="I43" s="37">
        <v>0.32</v>
      </c>
      <c r="J43" s="36"/>
      <c r="K43" s="36"/>
      <c r="L43" s="38">
        <v>1.0</v>
      </c>
      <c r="M43" s="38">
        <v>2.0</v>
      </c>
      <c r="N43" s="39"/>
      <c r="O43" s="39"/>
      <c r="P43" s="39"/>
      <c r="Q43" s="39"/>
    </row>
    <row r="44" ht="15.75" customHeight="1">
      <c r="A44" s="36" t="s">
        <v>427</v>
      </c>
      <c r="B44" s="36" t="s">
        <v>428</v>
      </c>
      <c r="C44" s="36" t="s">
        <v>429</v>
      </c>
      <c r="D44" s="36" t="s">
        <v>157</v>
      </c>
      <c r="E44" s="36" t="s">
        <v>350</v>
      </c>
      <c r="F44" s="36">
        <v>2.0</v>
      </c>
      <c r="G44" s="36">
        <v>198.0</v>
      </c>
      <c r="H44" s="36" t="s">
        <v>242</v>
      </c>
      <c r="I44" s="37">
        <v>0.15</v>
      </c>
      <c r="J44" s="36"/>
      <c r="K44" s="36"/>
      <c r="L44" s="38">
        <v>1.0</v>
      </c>
      <c r="M44" s="38">
        <v>2.0</v>
      </c>
      <c r="N44" s="39"/>
      <c r="O44" s="39"/>
      <c r="P44" s="39"/>
      <c r="Q44" s="39"/>
    </row>
    <row r="45" ht="15.75" customHeight="1">
      <c r="A45" s="36" t="s">
        <v>431</v>
      </c>
      <c r="B45" s="36" t="s">
        <v>432</v>
      </c>
      <c r="C45" s="36" t="s">
        <v>226</v>
      </c>
      <c r="D45" s="36" t="s">
        <v>157</v>
      </c>
      <c r="E45" s="36" t="s">
        <v>434</v>
      </c>
      <c r="F45" s="36">
        <v>2.0</v>
      </c>
      <c r="G45" s="36">
        <v>21.0</v>
      </c>
      <c r="H45" s="36" t="s">
        <v>382</v>
      </c>
      <c r="I45" s="37">
        <v>2.9</v>
      </c>
      <c r="J45" s="36"/>
      <c r="K45" s="36"/>
      <c r="L45" s="38">
        <v>3.0</v>
      </c>
      <c r="M45" s="38">
        <v>8.0</v>
      </c>
      <c r="N45" s="39"/>
      <c r="O45" s="39"/>
      <c r="P45" s="39"/>
      <c r="Q45" s="39"/>
    </row>
    <row r="46" ht="15.75" customHeight="1">
      <c r="A46" s="36" t="s">
        <v>439</v>
      </c>
      <c r="B46" s="36" t="s">
        <v>440</v>
      </c>
      <c r="C46" s="36" t="s">
        <v>226</v>
      </c>
      <c r="D46" s="36" t="s">
        <v>157</v>
      </c>
      <c r="E46" s="36" t="s">
        <v>239</v>
      </c>
      <c r="F46" s="36">
        <v>3.0</v>
      </c>
      <c r="G46" s="36">
        <v>18.0</v>
      </c>
      <c r="H46" s="36" t="s">
        <v>205</v>
      </c>
      <c r="I46" s="37">
        <v>2.46</v>
      </c>
      <c r="J46" s="36"/>
      <c r="K46" s="36"/>
      <c r="L46" s="38">
        <v>3.0</v>
      </c>
      <c r="M46" s="38">
        <v>7.0</v>
      </c>
      <c r="N46" s="39"/>
      <c r="O46" s="39"/>
      <c r="P46" s="39"/>
      <c r="Q46" s="39"/>
    </row>
    <row r="47" ht="15.75" customHeight="1">
      <c r="A47" s="36" t="s">
        <v>444</v>
      </c>
      <c r="B47" s="36" t="s">
        <v>446</v>
      </c>
      <c r="C47" s="36" t="s">
        <v>271</v>
      </c>
      <c r="D47" s="36" t="s">
        <v>157</v>
      </c>
      <c r="E47" s="36" t="s">
        <v>447</v>
      </c>
      <c r="F47" s="36">
        <v>3.0</v>
      </c>
      <c r="G47" s="36">
        <v>139.0</v>
      </c>
      <c r="H47" s="36" t="s">
        <v>448</v>
      </c>
      <c r="I47" s="37">
        <v>0.22</v>
      </c>
      <c r="J47" s="36"/>
      <c r="K47" s="36"/>
      <c r="L47" s="38">
        <v>1.0</v>
      </c>
      <c r="M47" s="38">
        <v>2.0</v>
      </c>
      <c r="N47" s="39"/>
      <c r="O47" s="39"/>
      <c r="P47" s="39"/>
      <c r="Q47" s="39"/>
    </row>
    <row r="48" ht="15.75" customHeight="1">
      <c r="A48" s="36" t="s">
        <v>450</v>
      </c>
      <c r="B48" s="36" t="s">
        <v>451</v>
      </c>
      <c r="C48" s="36" t="s">
        <v>452</v>
      </c>
      <c r="D48" s="36" t="s">
        <v>157</v>
      </c>
      <c r="E48" s="36" t="s">
        <v>239</v>
      </c>
      <c r="F48" s="36">
        <v>3.0</v>
      </c>
      <c r="G48" s="36">
        <v>54.0</v>
      </c>
      <c r="H48" s="36" t="s">
        <v>453</v>
      </c>
      <c r="I48" s="37">
        <v>9.76</v>
      </c>
      <c r="J48" s="36"/>
      <c r="K48" s="36"/>
      <c r="L48" s="38">
        <v>10.0</v>
      </c>
      <c r="M48" s="38">
        <v>25.0</v>
      </c>
      <c r="N48" s="39"/>
      <c r="O48" s="39"/>
      <c r="P48" s="39"/>
      <c r="Q48" s="39"/>
    </row>
    <row r="49" ht="15.75" customHeight="1">
      <c r="A49" s="36" t="s">
        <v>455</v>
      </c>
      <c r="B49" s="36" t="s">
        <v>456</v>
      </c>
      <c r="C49" s="36" t="s">
        <v>226</v>
      </c>
      <c r="D49" s="36" t="s">
        <v>157</v>
      </c>
      <c r="E49" s="36" t="s">
        <v>239</v>
      </c>
      <c r="F49" s="36">
        <v>8.0</v>
      </c>
      <c r="G49" s="36">
        <v>36.0</v>
      </c>
      <c r="H49" s="36" t="s">
        <v>268</v>
      </c>
      <c r="I49" s="37">
        <v>8.27</v>
      </c>
      <c r="J49" s="36"/>
      <c r="K49" s="36"/>
      <c r="L49" s="38">
        <v>9.0</v>
      </c>
      <c r="M49" s="38">
        <v>21.0</v>
      </c>
      <c r="N49" s="39"/>
      <c r="O49" s="39"/>
      <c r="P49" s="39"/>
      <c r="Q49" s="39"/>
    </row>
    <row r="50" ht="15.75" customHeight="1">
      <c r="A50" s="36" t="s">
        <v>459</v>
      </c>
      <c r="B50" s="36" t="s">
        <v>460</v>
      </c>
      <c r="C50" s="36" t="s">
        <v>271</v>
      </c>
      <c r="D50" s="36" t="s">
        <v>157</v>
      </c>
      <c r="E50" s="36" t="s">
        <v>239</v>
      </c>
      <c r="F50" s="36">
        <v>3.0</v>
      </c>
      <c r="G50" s="36">
        <v>38.0</v>
      </c>
      <c r="H50" s="36" t="s">
        <v>453</v>
      </c>
      <c r="I50" s="37">
        <v>7.5</v>
      </c>
      <c r="J50" s="36"/>
      <c r="K50" s="36"/>
      <c r="L50" s="38">
        <v>8.0</v>
      </c>
      <c r="M50" s="38">
        <v>19.0</v>
      </c>
      <c r="N50" s="39"/>
      <c r="O50" s="39"/>
      <c r="P50" s="39"/>
      <c r="Q50" s="39"/>
    </row>
    <row r="51" ht="15.75" customHeight="1">
      <c r="A51" s="36" t="s">
        <v>463</v>
      </c>
      <c r="B51" s="36" t="s">
        <v>464</v>
      </c>
      <c r="C51" s="36" t="s">
        <v>452</v>
      </c>
      <c r="D51" s="36" t="s">
        <v>157</v>
      </c>
      <c r="E51" s="36" t="s">
        <v>466</v>
      </c>
      <c r="F51" s="36">
        <v>7.0</v>
      </c>
      <c r="G51" s="36">
        <v>42.0</v>
      </c>
      <c r="H51" s="36" t="s">
        <v>296</v>
      </c>
      <c r="I51" s="37">
        <v>2.36</v>
      </c>
      <c r="J51" s="36"/>
      <c r="K51" s="36"/>
      <c r="L51" s="38">
        <v>3.0</v>
      </c>
      <c r="M51" s="38">
        <v>6.0</v>
      </c>
      <c r="N51" s="39"/>
      <c r="O51" s="39"/>
      <c r="P51" s="39"/>
      <c r="Q51" s="39"/>
    </row>
    <row r="52" ht="15.75" customHeight="1">
      <c r="A52" s="36" t="s">
        <v>468</v>
      </c>
      <c r="B52" s="36" t="s">
        <v>469</v>
      </c>
      <c r="C52" s="36" t="s">
        <v>452</v>
      </c>
      <c r="D52" s="36" t="s">
        <v>157</v>
      </c>
      <c r="E52" s="36" t="s">
        <v>239</v>
      </c>
      <c r="F52" s="36">
        <v>2.0</v>
      </c>
      <c r="G52" s="36">
        <v>77.0</v>
      </c>
      <c r="H52" s="36" t="s">
        <v>384</v>
      </c>
      <c r="I52" s="37">
        <v>1.97</v>
      </c>
      <c r="J52" s="36"/>
      <c r="K52" s="36"/>
      <c r="L52" s="38">
        <v>2.0</v>
      </c>
      <c r="M52" s="38">
        <v>5.0</v>
      </c>
      <c r="N52" s="39"/>
      <c r="O52" s="39"/>
      <c r="P52" s="39"/>
      <c r="Q52" s="39"/>
    </row>
    <row r="53" ht="15.75" customHeight="1">
      <c r="A53" s="36" t="s">
        <v>473</v>
      </c>
      <c r="B53" s="36" t="s">
        <v>474</v>
      </c>
      <c r="C53" s="36" t="s">
        <v>226</v>
      </c>
      <c r="D53" s="36" t="s">
        <v>157</v>
      </c>
      <c r="E53" s="36" t="s">
        <v>475</v>
      </c>
      <c r="F53" s="36">
        <v>3.0</v>
      </c>
      <c r="G53" s="36">
        <v>15.0</v>
      </c>
      <c r="H53" s="36" t="s">
        <v>296</v>
      </c>
      <c r="I53" s="37">
        <v>1.96</v>
      </c>
      <c r="J53" s="36"/>
      <c r="K53" s="36"/>
      <c r="L53" s="38">
        <v>2.0</v>
      </c>
      <c r="M53" s="38">
        <v>5.0</v>
      </c>
      <c r="N53" s="39"/>
      <c r="O53" s="39"/>
      <c r="P53" s="39"/>
      <c r="Q53" s="39"/>
    </row>
    <row r="54" ht="15.75" customHeight="1">
      <c r="A54" s="36" t="s">
        <v>480</v>
      </c>
      <c r="B54" s="36" t="s">
        <v>481</v>
      </c>
      <c r="C54" s="36" t="s">
        <v>452</v>
      </c>
      <c r="D54" s="36" t="s">
        <v>157</v>
      </c>
      <c r="E54" s="36" t="s">
        <v>350</v>
      </c>
      <c r="F54" s="36">
        <v>2.0</v>
      </c>
      <c r="G54" s="36">
        <v>109.0</v>
      </c>
      <c r="H54" s="36" t="s">
        <v>453</v>
      </c>
      <c r="I54" s="37">
        <v>0.84</v>
      </c>
      <c r="J54" s="36"/>
      <c r="K54" s="36"/>
      <c r="L54" s="38">
        <v>1.0</v>
      </c>
      <c r="M54" s="38">
        <v>3.0</v>
      </c>
      <c r="N54" s="39"/>
      <c r="O54" s="39"/>
      <c r="P54" s="39"/>
      <c r="Q54" s="39"/>
    </row>
    <row r="55" ht="15.75" customHeight="1">
      <c r="A55" s="36" t="s">
        <v>484</v>
      </c>
      <c r="B55" s="36" t="s">
        <v>485</v>
      </c>
      <c r="C55" s="36" t="s">
        <v>452</v>
      </c>
      <c r="D55" s="36" t="s">
        <v>157</v>
      </c>
      <c r="E55" s="36" t="s">
        <v>486</v>
      </c>
      <c r="F55" s="36">
        <v>2.0</v>
      </c>
      <c r="G55" s="36">
        <v>109.0</v>
      </c>
      <c r="H55" s="36" t="s">
        <v>453</v>
      </c>
      <c r="I55" s="37">
        <v>0.84</v>
      </c>
      <c r="J55" s="36"/>
      <c r="K55" s="36"/>
      <c r="L55" s="38">
        <v>1.0</v>
      </c>
      <c r="M55" s="38">
        <v>3.0</v>
      </c>
      <c r="N55" s="39"/>
      <c r="O55" s="39"/>
      <c r="P55" s="39"/>
      <c r="Q55" s="39"/>
    </row>
    <row r="56" ht="15.75" customHeight="1">
      <c r="A56" s="36" t="s">
        <v>487</v>
      </c>
      <c r="B56" s="36" t="s">
        <v>204</v>
      </c>
      <c r="C56" s="36" t="s">
        <v>42</v>
      </c>
      <c r="D56" s="36" t="s">
        <v>71</v>
      </c>
      <c r="E56" s="36" t="s">
        <v>66</v>
      </c>
      <c r="F56" s="36">
        <v>11.0</v>
      </c>
      <c r="G56" s="36">
        <v>41.0</v>
      </c>
      <c r="H56" s="36" t="s">
        <v>210</v>
      </c>
      <c r="I56" s="37">
        <v>2.53</v>
      </c>
      <c r="J56" s="36"/>
      <c r="K56" s="36"/>
      <c r="L56" s="38">
        <v>3.0</v>
      </c>
      <c r="M56" s="38">
        <v>7.0</v>
      </c>
      <c r="N56" s="39"/>
      <c r="O56" s="39"/>
      <c r="P56" s="39"/>
      <c r="Q56" s="39"/>
    </row>
    <row r="57" ht="15.75" customHeight="1">
      <c r="A57" s="36" t="s">
        <v>490</v>
      </c>
      <c r="B57" s="36" t="s">
        <v>258</v>
      </c>
      <c r="C57" s="36" t="s">
        <v>42</v>
      </c>
      <c r="D57" s="36" t="s">
        <v>71</v>
      </c>
      <c r="E57" s="36" t="s">
        <v>66</v>
      </c>
      <c r="F57" s="36">
        <v>8.0</v>
      </c>
      <c r="G57" s="36">
        <v>25.0</v>
      </c>
      <c r="H57" s="36" t="s">
        <v>262</v>
      </c>
      <c r="I57" s="37">
        <v>1.26</v>
      </c>
      <c r="J57" s="36"/>
      <c r="K57" s="36"/>
      <c r="L57" s="38">
        <v>2.0</v>
      </c>
      <c r="M57" s="38">
        <v>4.0</v>
      </c>
      <c r="N57" s="39"/>
      <c r="O57" s="39"/>
      <c r="P57" s="39"/>
      <c r="Q57" s="39"/>
    </row>
    <row r="58" ht="15.75" customHeight="1">
      <c r="A58" s="36" t="s">
        <v>494</v>
      </c>
      <c r="B58" s="36" t="s">
        <v>279</v>
      </c>
      <c r="C58" s="36" t="s">
        <v>42</v>
      </c>
      <c r="D58" s="36" t="s">
        <v>71</v>
      </c>
      <c r="E58" s="36" t="s">
        <v>66</v>
      </c>
      <c r="F58" s="36">
        <v>7.0</v>
      </c>
      <c r="G58" s="36">
        <v>54.0</v>
      </c>
      <c r="H58" s="36" t="s">
        <v>262</v>
      </c>
      <c r="I58" s="37">
        <v>1.01</v>
      </c>
      <c r="J58" s="36"/>
      <c r="K58" s="36"/>
      <c r="L58" s="38">
        <v>2.0</v>
      </c>
      <c r="M58" s="38">
        <v>3.0</v>
      </c>
      <c r="N58" s="39"/>
      <c r="O58" s="39"/>
      <c r="P58" s="39"/>
      <c r="Q58" s="39"/>
    </row>
    <row r="59" ht="15.75" customHeight="1">
      <c r="A59" s="36" t="s">
        <v>500</v>
      </c>
      <c r="B59" s="36" t="s">
        <v>75</v>
      </c>
      <c r="C59" s="36" t="s">
        <v>42</v>
      </c>
      <c r="D59" s="36" t="s">
        <v>71</v>
      </c>
      <c r="E59" s="36" t="s">
        <v>66</v>
      </c>
      <c r="F59" s="36">
        <v>7.0</v>
      </c>
      <c r="G59" s="36">
        <v>78.0</v>
      </c>
      <c r="H59" s="36" t="s">
        <v>277</v>
      </c>
      <c r="I59" s="37">
        <v>0.56</v>
      </c>
      <c r="J59" s="36"/>
      <c r="K59" s="36"/>
      <c r="L59" s="38">
        <v>1.0</v>
      </c>
      <c r="M59" s="38">
        <v>2.0</v>
      </c>
      <c r="N59" s="39"/>
      <c r="O59" s="39"/>
      <c r="P59" s="39"/>
      <c r="Q59" s="39"/>
    </row>
    <row r="60" ht="15.75" customHeight="1">
      <c r="A60" s="36" t="s">
        <v>503</v>
      </c>
      <c r="B60" s="36" t="s">
        <v>343</v>
      </c>
      <c r="C60" s="36" t="s">
        <v>42</v>
      </c>
      <c r="D60" s="36" t="s">
        <v>71</v>
      </c>
      <c r="E60" s="36" t="s">
        <v>66</v>
      </c>
      <c r="F60" s="36">
        <v>5.0</v>
      </c>
      <c r="G60" s="36">
        <v>114.0</v>
      </c>
      <c r="H60" s="36" t="s">
        <v>347</v>
      </c>
      <c r="I60" s="37">
        <v>0.45</v>
      </c>
      <c r="J60" s="36"/>
      <c r="K60" s="36"/>
      <c r="L60" s="38">
        <v>1.0</v>
      </c>
      <c r="M60" s="38">
        <v>2.0</v>
      </c>
      <c r="N60" s="39"/>
      <c r="O60" s="39"/>
      <c r="P60" s="39"/>
      <c r="Q60" s="39"/>
    </row>
    <row r="61" ht="15.75" customHeight="1">
      <c r="A61" s="36" t="s">
        <v>506</v>
      </c>
      <c r="B61" s="36" t="s">
        <v>507</v>
      </c>
      <c r="C61" s="36" t="s">
        <v>42</v>
      </c>
      <c r="D61" s="36" t="s">
        <v>71</v>
      </c>
      <c r="E61" s="36" t="s">
        <v>66</v>
      </c>
      <c r="F61" s="36">
        <v>2.0</v>
      </c>
      <c r="G61" s="36">
        <v>153.0</v>
      </c>
      <c r="H61" s="36" t="s">
        <v>347</v>
      </c>
      <c r="I61" s="37">
        <v>0.4</v>
      </c>
      <c r="J61" s="36"/>
      <c r="K61" s="36"/>
      <c r="L61" s="38">
        <v>1.0</v>
      </c>
      <c r="M61" s="38">
        <v>2.0</v>
      </c>
      <c r="N61" s="39"/>
      <c r="O61" s="39"/>
      <c r="P61" s="39"/>
      <c r="Q61" s="39"/>
    </row>
    <row r="62" ht="15.75" customHeight="1">
      <c r="A62" s="36" t="s">
        <v>508</v>
      </c>
      <c r="B62" s="36" t="s">
        <v>331</v>
      </c>
      <c r="C62" s="36" t="s">
        <v>42</v>
      </c>
      <c r="D62" s="36" t="s">
        <v>71</v>
      </c>
      <c r="E62" s="36" t="s">
        <v>66</v>
      </c>
      <c r="F62" s="36">
        <v>5.0</v>
      </c>
      <c r="G62" s="36">
        <v>100.0</v>
      </c>
      <c r="H62" s="36" t="s">
        <v>262</v>
      </c>
      <c r="I62" s="37">
        <v>0.31</v>
      </c>
      <c r="J62" s="36"/>
      <c r="K62" s="36"/>
      <c r="L62" s="38">
        <v>1.0</v>
      </c>
      <c r="M62" s="38">
        <v>2.0</v>
      </c>
      <c r="N62" s="39"/>
      <c r="O62" s="39"/>
      <c r="P62" s="39"/>
      <c r="Q62" s="39"/>
    </row>
    <row r="63" ht="15.75" customHeight="1">
      <c r="A63" s="36" t="s">
        <v>511</v>
      </c>
      <c r="B63" s="36" t="s">
        <v>241</v>
      </c>
      <c r="C63" s="36"/>
      <c r="D63" s="36" t="s">
        <v>240</v>
      </c>
      <c r="E63" s="36" t="s">
        <v>177</v>
      </c>
      <c r="F63" s="36">
        <v>9.0</v>
      </c>
      <c r="G63" s="36">
        <v>22.0</v>
      </c>
      <c r="H63" s="36" t="s">
        <v>244</v>
      </c>
      <c r="I63" s="37">
        <v>75.34</v>
      </c>
      <c r="J63" s="36"/>
      <c r="K63" s="36"/>
      <c r="L63" s="38">
        <v>76.0</v>
      </c>
      <c r="M63" s="38">
        <v>189.0</v>
      </c>
      <c r="N63" s="39"/>
      <c r="O63" s="39"/>
      <c r="P63" s="39"/>
      <c r="Q63" s="39"/>
    </row>
    <row r="64" ht="15.75" customHeight="1">
      <c r="A64" s="36" t="s">
        <v>514</v>
      </c>
      <c r="B64" s="36" t="s">
        <v>360</v>
      </c>
      <c r="C64" s="36"/>
      <c r="D64" s="36" t="s">
        <v>240</v>
      </c>
      <c r="E64" s="36" t="s">
        <v>177</v>
      </c>
      <c r="F64" s="36">
        <v>5.0</v>
      </c>
      <c r="G64" s="36">
        <v>33.0</v>
      </c>
      <c r="H64" s="36" t="s">
        <v>244</v>
      </c>
      <c r="I64" s="37">
        <v>34.55</v>
      </c>
      <c r="J64" s="36"/>
      <c r="K64" s="36"/>
      <c r="L64" s="38">
        <v>35.0</v>
      </c>
      <c r="M64" s="38">
        <v>87.0</v>
      </c>
      <c r="N64" s="39"/>
      <c r="O64" s="39"/>
      <c r="P64" s="39"/>
      <c r="Q64" s="39"/>
    </row>
    <row r="65" ht="15.75" customHeight="1">
      <c r="A65" s="36" t="s">
        <v>516</v>
      </c>
      <c r="B65" s="36" t="s">
        <v>517</v>
      </c>
      <c r="C65" s="36" t="s">
        <v>271</v>
      </c>
      <c r="D65" s="36" t="s">
        <v>157</v>
      </c>
      <c r="E65" s="36" t="s">
        <v>410</v>
      </c>
      <c r="F65" s="36">
        <v>2.0</v>
      </c>
      <c r="G65" s="36">
        <v>1.0</v>
      </c>
      <c r="H65" s="36" t="s">
        <v>519</v>
      </c>
      <c r="I65" s="37">
        <v>30.4</v>
      </c>
      <c r="J65" s="36"/>
      <c r="K65" s="36"/>
      <c r="L65" s="38">
        <v>31.0</v>
      </c>
      <c r="M65" s="38">
        <v>76.0</v>
      </c>
      <c r="N65" s="39"/>
      <c r="O65" s="39"/>
      <c r="P65" s="39"/>
      <c r="Q65" s="39"/>
    </row>
    <row r="66" ht="15.75" customHeight="1">
      <c r="A66" s="36" t="s">
        <v>522</v>
      </c>
      <c r="B66" s="36" t="s">
        <v>325</v>
      </c>
      <c r="C66" s="36"/>
      <c r="D66" s="36" t="s">
        <v>240</v>
      </c>
      <c r="E66" s="36" t="s">
        <v>177</v>
      </c>
      <c r="F66" s="36">
        <v>6.0</v>
      </c>
      <c r="G66" s="36">
        <v>34.0</v>
      </c>
      <c r="H66" s="36" t="s">
        <v>244</v>
      </c>
      <c r="I66" s="37">
        <v>30.11</v>
      </c>
      <c r="J66" s="36"/>
      <c r="K66" s="36"/>
      <c r="L66" s="38">
        <v>31.0</v>
      </c>
      <c r="M66" s="38">
        <v>76.0</v>
      </c>
      <c r="N66" s="39"/>
      <c r="O66" s="39"/>
      <c r="P66" s="39"/>
      <c r="Q66" s="39"/>
    </row>
    <row r="67" ht="15.75" customHeight="1">
      <c r="A67" s="36" t="s">
        <v>525</v>
      </c>
      <c r="B67" s="36" t="s">
        <v>526</v>
      </c>
      <c r="C67" s="36"/>
      <c r="D67" s="36" t="s">
        <v>240</v>
      </c>
      <c r="E67" s="36" t="s">
        <v>527</v>
      </c>
      <c r="F67" s="36">
        <v>2.0</v>
      </c>
      <c r="G67" s="36">
        <v>6.0</v>
      </c>
      <c r="H67" s="36" t="s">
        <v>529</v>
      </c>
      <c r="I67" s="37">
        <v>10.13</v>
      </c>
      <c r="J67" s="36"/>
      <c r="K67" s="36"/>
      <c r="L67" s="38">
        <v>11.0</v>
      </c>
      <c r="M67" s="38">
        <v>26.0</v>
      </c>
      <c r="N67" s="39"/>
      <c r="O67" s="39"/>
      <c r="P67" s="39"/>
      <c r="Q67" s="39"/>
    </row>
    <row r="68" ht="15.75" customHeight="1">
      <c r="A68" s="36" t="s">
        <v>532</v>
      </c>
      <c r="B68" s="36" t="s">
        <v>533</v>
      </c>
      <c r="C68" s="36" t="s">
        <v>349</v>
      </c>
      <c r="D68" s="36" t="s">
        <v>157</v>
      </c>
      <c r="E68" s="36" t="s">
        <v>534</v>
      </c>
      <c r="F68" s="36">
        <v>5.0</v>
      </c>
      <c r="G68" s="36">
        <v>21.0</v>
      </c>
      <c r="H68" s="36" t="s">
        <v>386</v>
      </c>
      <c r="I68" s="37">
        <v>5.94</v>
      </c>
      <c r="J68" s="36"/>
      <c r="K68" s="36"/>
      <c r="L68" s="38">
        <v>6.0</v>
      </c>
      <c r="M68" s="38">
        <v>15.0</v>
      </c>
      <c r="N68" s="39"/>
      <c r="O68" s="39"/>
      <c r="P68" s="39"/>
      <c r="Q68" s="39"/>
    </row>
    <row r="69" ht="15.75" customHeight="1">
      <c r="A69" s="36" t="s">
        <v>538</v>
      </c>
      <c r="B69" s="36" t="s">
        <v>540</v>
      </c>
      <c r="C69" s="36"/>
      <c r="D69" s="36" t="s">
        <v>240</v>
      </c>
      <c r="E69" s="36" t="s">
        <v>542</v>
      </c>
      <c r="F69" s="36">
        <v>3.0</v>
      </c>
      <c r="G69" s="36">
        <v>42.0</v>
      </c>
      <c r="H69" s="36" t="s">
        <v>543</v>
      </c>
      <c r="I69" s="37">
        <v>5.36</v>
      </c>
      <c r="J69" s="36"/>
      <c r="K69" s="36"/>
      <c r="L69" s="38">
        <v>6.0</v>
      </c>
      <c r="M69" s="38">
        <v>14.0</v>
      </c>
      <c r="N69" s="39"/>
      <c r="O69" s="39"/>
      <c r="P69" s="39"/>
      <c r="Q69" s="39"/>
    </row>
    <row r="70" ht="15.75" customHeight="1">
      <c r="A70" s="36" t="s">
        <v>430</v>
      </c>
      <c r="B70" s="36" t="s">
        <v>545</v>
      </c>
      <c r="C70" s="36"/>
      <c r="D70" s="36" t="s">
        <v>240</v>
      </c>
      <c r="E70" s="36" t="s">
        <v>546</v>
      </c>
      <c r="F70" s="36">
        <v>2.0</v>
      </c>
      <c r="G70" s="36">
        <v>35.0</v>
      </c>
      <c r="H70" s="36" t="s">
        <v>547</v>
      </c>
      <c r="I70" s="37">
        <v>5.21</v>
      </c>
      <c r="J70" s="36"/>
      <c r="K70" s="36"/>
      <c r="L70" s="38">
        <v>6.0</v>
      </c>
      <c r="M70" s="38">
        <v>14.0</v>
      </c>
      <c r="N70" s="39"/>
      <c r="O70" s="39"/>
      <c r="P70" s="39"/>
      <c r="Q70" s="39"/>
    </row>
    <row r="71" ht="15.75" customHeight="1">
      <c r="A71" s="36" t="s">
        <v>318</v>
      </c>
      <c r="B71" s="36" t="s">
        <v>549</v>
      </c>
      <c r="C71" s="36"/>
      <c r="D71" s="36" t="s">
        <v>240</v>
      </c>
      <c r="E71" s="36" t="s">
        <v>546</v>
      </c>
      <c r="F71" s="36">
        <v>2.0</v>
      </c>
      <c r="G71" s="36">
        <v>35.0</v>
      </c>
      <c r="H71" s="36" t="s">
        <v>547</v>
      </c>
      <c r="I71" s="37">
        <v>5.21</v>
      </c>
      <c r="J71" s="36"/>
      <c r="K71" s="36"/>
      <c r="L71" s="38">
        <v>6.0</v>
      </c>
      <c r="M71" s="38">
        <v>14.0</v>
      </c>
      <c r="N71" s="39"/>
      <c r="O71" s="39"/>
      <c r="P71" s="39"/>
      <c r="Q71" s="39"/>
    </row>
    <row r="72" ht="15.75" customHeight="1">
      <c r="A72" s="36" t="s">
        <v>552</v>
      </c>
      <c r="B72" s="36" t="s">
        <v>553</v>
      </c>
      <c r="C72" s="36"/>
      <c r="D72" s="36" t="s">
        <v>240</v>
      </c>
      <c r="E72" s="36" t="s">
        <v>527</v>
      </c>
      <c r="F72" s="36">
        <v>2.0</v>
      </c>
      <c r="G72" s="36">
        <v>6.0</v>
      </c>
      <c r="H72" s="36" t="s">
        <v>529</v>
      </c>
      <c r="I72" s="37">
        <v>5.07</v>
      </c>
      <c r="J72" s="36"/>
      <c r="K72" s="36"/>
      <c r="L72" s="38">
        <v>6.0</v>
      </c>
      <c r="M72" s="38">
        <v>13.0</v>
      </c>
      <c r="N72" s="39"/>
      <c r="O72" s="39"/>
      <c r="P72" s="39"/>
      <c r="Q72" s="39"/>
    </row>
    <row r="73" ht="15.75" customHeight="1">
      <c r="A73" s="36" t="s">
        <v>557</v>
      </c>
      <c r="B73" s="36" t="s">
        <v>285</v>
      </c>
      <c r="C73" s="36"/>
      <c r="D73" s="36" t="s">
        <v>240</v>
      </c>
      <c r="E73" s="36" t="s">
        <v>559</v>
      </c>
      <c r="F73" s="36">
        <v>7.0</v>
      </c>
      <c r="G73" s="36">
        <v>18.0</v>
      </c>
      <c r="H73" s="36" t="s">
        <v>289</v>
      </c>
      <c r="I73" s="37">
        <v>4.65</v>
      </c>
      <c r="J73" s="36"/>
      <c r="K73" s="36"/>
      <c r="L73" s="38">
        <v>5.0</v>
      </c>
      <c r="M73" s="38">
        <v>12.0</v>
      </c>
      <c r="N73" s="39"/>
      <c r="O73" s="39"/>
      <c r="P73" s="39"/>
      <c r="Q73" s="39"/>
    </row>
    <row r="74" ht="15.75" customHeight="1">
      <c r="A74" s="36" t="s">
        <v>383</v>
      </c>
      <c r="B74" s="36" t="s">
        <v>561</v>
      </c>
      <c r="C74" s="36"/>
      <c r="D74" s="36" t="s">
        <v>240</v>
      </c>
      <c r="E74" s="36" t="s">
        <v>562</v>
      </c>
      <c r="F74" s="36">
        <v>2.0</v>
      </c>
      <c r="G74" s="36">
        <v>14.0</v>
      </c>
      <c r="H74" s="36" t="s">
        <v>564</v>
      </c>
      <c r="I74" s="37">
        <v>2.17</v>
      </c>
      <c r="J74" s="36"/>
      <c r="K74" s="36"/>
      <c r="L74" s="38">
        <v>3.0</v>
      </c>
      <c r="M74" s="38">
        <v>6.0</v>
      </c>
      <c r="N74" s="39"/>
      <c r="O74" s="39"/>
      <c r="P74" s="39"/>
      <c r="Q74" s="39"/>
    </row>
    <row r="75" ht="15.75" customHeight="1">
      <c r="A75" s="36" t="s">
        <v>565</v>
      </c>
      <c r="B75" s="36" t="s">
        <v>566</v>
      </c>
      <c r="C75" s="36" t="s">
        <v>349</v>
      </c>
      <c r="D75" s="36" t="s">
        <v>157</v>
      </c>
      <c r="E75" s="36" t="s">
        <v>341</v>
      </c>
      <c r="F75" s="36">
        <v>2.0</v>
      </c>
      <c r="G75" s="36">
        <v>35.0</v>
      </c>
      <c r="H75" s="36" t="s">
        <v>223</v>
      </c>
      <c r="I75" s="37">
        <v>1.74</v>
      </c>
      <c r="J75" s="36"/>
      <c r="K75" s="36"/>
      <c r="L75" s="38">
        <v>2.0</v>
      </c>
      <c r="M75" s="38">
        <v>5.0</v>
      </c>
      <c r="N75" s="39"/>
      <c r="O75" s="39"/>
      <c r="P75" s="39"/>
      <c r="Q75" s="39"/>
    </row>
    <row r="76" ht="15.75" customHeight="1">
      <c r="A76" s="36" t="s">
        <v>568</v>
      </c>
      <c r="B76" s="36" t="s">
        <v>569</v>
      </c>
      <c r="C76" s="36"/>
      <c r="D76" s="36" t="s">
        <v>240</v>
      </c>
      <c r="E76" s="36" t="s">
        <v>570</v>
      </c>
      <c r="F76" s="36">
        <v>2.0</v>
      </c>
      <c r="G76" s="36">
        <v>46.0</v>
      </c>
      <c r="H76" s="36" t="s">
        <v>359</v>
      </c>
      <c r="I76" s="37">
        <v>1.32</v>
      </c>
      <c r="J76" s="36"/>
      <c r="K76" s="36"/>
      <c r="L76" s="38">
        <v>2.0</v>
      </c>
      <c r="M76" s="38">
        <v>4.0</v>
      </c>
      <c r="N76" s="39"/>
      <c r="O76" s="39"/>
      <c r="P76" s="39"/>
      <c r="Q76" s="39"/>
    </row>
    <row r="77" ht="15.75" customHeight="1">
      <c r="A77" s="36" t="s">
        <v>572</v>
      </c>
      <c r="B77" s="36" t="s">
        <v>355</v>
      </c>
      <c r="C77" s="36"/>
      <c r="D77" s="36" t="s">
        <v>240</v>
      </c>
      <c r="E77" s="36" t="s">
        <v>575</v>
      </c>
      <c r="F77" s="36">
        <v>5.0</v>
      </c>
      <c r="G77" s="36">
        <v>40.0</v>
      </c>
      <c r="H77" s="36" t="s">
        <v>359</v>
      </c>
      <c r="I77" s="37">
        <v>1.19</v>
      </c>
      <c r="J77" s="36"/>
      <c r="K77" s="36"/>
      <c r="L77" s="38">
        <v>2.0</v>
      </c>
      <c r="M77" s="38">
        <v>3.0</v>
      </c>
      <c r="N77" s="39"/>
      <c r="O77" s="39"/>
      <c r="P77" s="39"/>
      <c r="Q77" s="39"/>
    </row>
    <row r="78" ht="15.75" customHeight="1">
      <c r="A78" s="36" t="s">
        <v>578</v>
      </c>
      <c r="B78" s="36" t="s">
        <v>579</v>
      </c>
      <c r="C78" s="36"/>
      <c r="D78" s="36" t="s">
        <v>240</v>
      </c>
      <c r="E78" s="36" t="s">
        <v>581</v>
      </c>
      <c r="F78" s="36">
        <v>3.0</v>
      </c>
      <c r="G78" s="36">
        <v>53.0</v>
      </c>
      <c r="H78" s="36" t="s">
        <v>582</v>
      </c>
      <c r="I78" s="37">
        <v>0.85</v>
      </c>
      <c r="J78" s="36"/>
      <c r="K78" s="36"/>
      <c r="L78" s="38">
        <v>1.0</v>
      </c>
      <c r="M78" s="38">
        <v>3.0</v>
      </c>
      <c r="N78" s="39"/>
      <c r="O78" s="39"/>
      <c r="P78" s="39"/>
      <c r="Q78" s="39"/>
    </row>
    <row r="79" ht="15.75" customHeight="1">
      <c r="A79" s="36" t="s">
        <v>586</v>
      </c>
      <c r="B79" s="36" t="s">
        <v>587</v>
      </c>
      <c r="C79" s="36"/>
      <c r="D79" s="36" t="s">
        <v>240</v>
      </c>
      <c r="E79" s="36" t="s">
        <v>588</v>
      </c>
      <c r="F79" s="36">
        <v>4.0</v>
      </c>
      <c r="G79" s="36">
        <v>31.0</v>
      </c>
      <c r="H79" s="36" t="s">
        <v>589</v>
      </c>
      <c r="I79" s="37">
        <v>0.81</v>
      </c>
      <c r="J79" s="36"/>
      <c r="K79" s="36"/>
      <c r="L79" s="38">
        <v>1.0</v>
      </c>
      <c r="M79" s="38">
        <v>3.0</v>
      </c>
      <c r="N79" s="39"/>
      <c r="O79" s="39"/>
      <c r="P79" s="39"/>
      <c r="Q79" s="39"/>
    </row>
    <row r="80" ht="15.75" customHeight="1">
      <c r="A80" s="36" t="s">
        <v>488</v>
      </c>
      <c r="B80" s="36" t="s">
        <v>591</v>
      </c>
      <c r="C80" s="36"/>
      <c r="D80" s="36" t="s">
        <v>240</v>
      </c>
      <c r="E80" s="36" t="s">
        <v>562</v>
      </c>
      <c r="F80" s="36">
        <v>3.0</v>
      </c>
      <c r="G80" s="36">
        <v>40.0</v>
      </c>
      <c r="H80" s="36" t="s">
        <v>359</v>
      </c>
      <c r="I80" s="37">
        <v>0.75</v>
      </c>
      <c r="J80" s="36"/>
      <c r="K80" s="36"/>
      <c r="L80" s="38">
        <v>1.0</v>
      </c>
      <c r="M80" s="38">
        <v>2.0</v>
      </c>
      <c r="N80" s="39"/>
      <c r="O80" s="39"/>
      <c r="P80" s="39"/>
      <c r="Q80" s="39"/>
    </row>
    <row r="81" ht="15.75" customHeight="1">
      <c r="A81" s="36" t="s">
        <v>598</v>
      </c>
      <c r="B81" s="36" t="s">
        <v>599</v>
      </c>
      <c r="C81" s="36"/>
      <c r="D81" s="36" t="s">
        <v>240</v>
      </c>
      <c r="E81" s="36" t="s">
        <v>600</v>
      </c>
      <c r="F81" s="36">
        <v>2.0</v>
      </c>
      <c r="G81" s="36">
        <v>82.0</v>
      </c>
      <c r="H81" s="36" t="s">
        <v>289</v>
      </c>
      <c r="I81" s="37">
        <v>0.74</v>
      </c>
      <c r="J81" s="36"/>
      <c r="K81" s="36"/>
      <c r="L81" s="38">
        <v>1.0</v>
      </c>
      <c r="M81" s="38">
        <v>2.0</v>
      </c>
      <c r="N81" s="39"/>
      <c r="O81" s="39"/>
      <c r="P81" s="39"/>
      <c r="Q81" s="39"/>
    </row>
    <row r="82" ht="15.75" customHeight="1">
      <c r="A82" s="36" t="s">
        <v>604</v>
      </c>
      <c r="B82" s="36" t="s">
        <v>605</v>
      </c>
      <c r="C82" s="36" t="s">
        <v>271</v>
      </c>
      <c r="D82" s="36" t="s">
        <v>157</v>
      </c>
      <c r="E82" s="36" t="s">
        <v>607</v>
      </c>
      <c r="F82" s="36">
        <v>2.0</v>
      </c>
      <c r="G82" s="36">
        <v>150.0</v>
      </c>
      <c r="H82" s="36" t="s">
        <v>608</v>
      </c>
      <c r="I82" s="37">
        <v>0.41</v>
      </c>
      <c r="J82" s="36"/>
      <c r="K82" s="36"/>
      <c r="L82" s="38">
        <v>1.0</v>
      </c>
      <c r="M82" s="38">
        <v>2.0</v>
      </c>
      <c r="N82" s="39"/>
      <c r="O82" s="39"/>
      <c r="P82" s="39"/>
      <c r="Q82" s="39"/>
    </row>
    <row r="83" ht="15.75" customHeight="1">
      <c r="A83" s="36" t="s">
        <v>611</v>
      </c>
      <c r="B83" s="36" t="s">
        <v>130</v>
      </c>
      <c r="C83" s="36" t="s">
        <v>349</v>
      </c>
      <c r="D83" s="36" t="s">
        <v>157</v>
      </c>
      <c r="E83" s="36" t="s">
        <v>167</v>
      </c>
      <c r="F83" s="36">
        <v>2.0</v>
      </c>
      <c r="G83" s="36">
        <v>154.0</v>
      </c>
      <c r="H83" s="36" t="s">
        <v>612</v>
      </c>
      <c r="I83" s="37">
        <v>0.2</v>
      </c>
      <c r="J83" s="36"/>
      <c r="K83" s="36"/>
      <c r="L83" s="38">
        <v>1.0</v>
      </c>
      <c r="M83" s="38">
        <v>2.0</v>
      </c>
      <c r="N83" s="39"/>
      <c r="O83" s="39"/>
      <c r="P83" s="39"/>
      <c r="Q83" s="39"/>
    </row>
    <row r="84" ht="15.75" customHeight="1">
      <c r="A84" s="36" t="s">
        <v>616</v>
      </c>
      <c r="B84" s="36" t="s">
        <v>617</v>
      </c>
      <c r="C84" s="36" t="s">
        <v>42</v>
      </c>
      <c r="D84" s="36" t="s">
        <v>157</v>
      </c>
      <c r="E84" s="36" t="s">
        <v>618</v>
      </c>
      <c r="F84" s="36">
        <v>2.0</v>
      </c>
      <c r="G84" s="36">
        <v>13.0</v>
      </c>
      <c r="H84" s="36" t="s">
        <v>290</v>
      </c>
      <c r="I84" s="37">
        <v>2.34</v>
      </c>
      <c r="J84" s="36"/>
      <c r="K84" s="36"/>
      <c r="L84" s="38">
        <v>3.0</v>
      </c>
      <c r="M84" s="38">
        <v>6.0</v>
      </c>
      <c r="N84" s="39"/>
      <c r="O84" s="39"/>
      <c r="P84" s="39"/>
      <c r="Q84" s="39"/>
    </row>
    <row r="85" ht="15.75" customHeight="1">
      <c r="A85" s="36" t="s">
        <v>622</v>
      </c>
      <c r="B85" s="36" t="s">
        <v>625</v>
      </c>
      <c r="C85" s="36" t="s">
        <v>226</v>
      </c>
      <c r="D85" s="36" t="s">
        <v>157</v>
      </c>
      <c r="E85" s="36" t="s">
        <v>239</v>
      </c>
      <c r="F85" s="36">
        <v>5.0</v>
      </c>
      <c r="G85" s="36">
        <v>34.0</v>
      </c>
      <c r="H85" s="36" t="s">
        <v>205</v>
      </c>
      <c r="I85" s="37">
        <v>0.74</v>
      </c>
      <c r="J85" s="36"/>
      <c r="K85" s="36"/>
      <c r="L85" s="38">
        <v>1.0</v>
      </c>
      <c r="M85" s="38">
        <v>2.0</v>
      </c>
      <c r="N85" s="39"/>
      <c r="O85" s="39"/>
      <c r="P85" s="39"/>
      <c r="Q85" s="39"/>
    </row>
    <row r="86" ht="15.75" customHeight="1">
      <c r="A86" s="36" t="s">
        <v>631</v>
      </c>
      <c r="B86" s="36" t="s">
        <v>632</v>
      </c>
      <c r="C86" s="36" t="s">
        <v>42</v>
      </c>
      <c r="D86" s="36" t="s">
        <v>157</v>
      </c>
      <c r="E86" s="36" t="s">
        <v>618</v>
      </c>
      <c r="F86" s="36">
        <v>2.0</v>
      </c>
      <c r="G86" s="36">
        <v>175.0</v>
      </c>
      <c r="H86" s="36" t="s">
        <v>636</v>
      </c>
      <c r="I86" s="37">
        <v>0.17</v>
      </c>
      <c r="J86" s="36"/>
      <c r="K86" s="36"/>
      <c r="L86" s="38">
        <v>1.0</v>
      </c>
      <c r="M86" s="38">
        <v>2.0</v>
      </c>
      <c r="N86" s="39"/>
      <c r="O86" s="39"/>
      <c r="P86" s="39"/>
      <c r="Q86" s="39"/>
    </row>
    <row r="87" ht="15.75" customHeight="1">
      <c r="A87" s="36" t="s">
        <v>639</v>
      </c>
      <c r="B87" s="36" t="s">
        <v>640</v>
      </c>
      <c r="C87" s="36" t="s">
        <v>42</v>
      </c>
      <c r="D87" s="36" t="s">
        <v>366</v>
      </c>
      <c r="E87" s="36" t="s">
        <v>641</v>
      </c>
      <c r="F87" s="36">
        <v>3.0</v>
      </c>
      <c r="G87" s="36">
        <v>23.0</v>
      </c>
      <c r="H87" s="36" t="s">
        <v>373</v>
      </c>
      <c r="I87" s="37">
        <v>320.17</v>
      </c>
      <c r="J87" s="36"/>
      <c r="K87" s="36"/>
      <c r="L87" s="38">
        <v>321.0</v>
      </c>
      <c r="M87" s="38">
        <v>801.0</v>
      </c>
      <c r="N87" s="39"/>
      <c r="O87" s="39"/>
      <c r="P87" s="39"/>
      <c r="Q87" s="39"/>
    </row>
    <row r="88" ht="15.75" customHeight="1">
      <c r="A88" s="36" t="s">
        <v>647</v>
      </c>
      <c r="B88" s="36" t="s">
        <v>648</v>
      </c>
      <c r="C88" s="36" t="s">
        <v>42</v>
      </c>
      <c r="D88" s="36" t="s">
        <v>366</v>
      </c>
      <c r="E88" s="36" t="s">
        <v>650</v>
      </c>
      <c r="F88" s="36">
        <v>4.0</v>
      </c>
      <c r="G88" s="36">
        <v>22.0</v>
      </c>
      <c r="H88" s="36" t="s">
        <v>373</v>
      </c>
      <c r="I88" s="37">
        <v>9.77</v>
      </c>
      <c r="J88" s="36"/>
      <c r="K88" s="36"/>
      <c r="L88" s="38">
        <v>10.0</v>
      </c>
      <c r="M88" s="38">
        <v>25.0</v>
      </c>
      <c r="N88" s="39"/>
      <c r="O88" s="39"/>
      <c r="P88" s="39"/>
      <c r="Q88" s="39"/>
    </row>
    <row r="89" ht="15.75" customHeight="1">
      <c r="A89" s="36" t="s">
        <v>654</v>
      </c>
      <c r="B89" s="36" t="s">
        <v>655</v>
      </c>
      <c r="C89" s="36" t="s">
        <v>42</v>
      </c>
      <c r="D89" s="36" t="s">
        <v>366</v>
      </c>
      <c r="E89" s="36" t="s">
        <v>656</v>
      </c>
      <c r="F89" s="36">
        <v>2.0</v>
      </c>
      <c r="G89" s="36">
        <v>28.0</v>
      </c>
      <c r="H89" s="36" t="s">
        <v>658</v>
      </c>
      <c r="I89" s="37">
        <v>1.09</v>
      </c>
      <c r="J89" s="36"/>
      <c r="K89" s="36"/>
      <c r="L89" s="38">
        <v>2.0</v>
      </c>
      <c r="M89" s="38">
        <v>3.0</v>
      </c>
      <c r="N89" s="39"/>
      <c r="O89" s="39"/>
      <c r="P89" s="39"/>
      <c r="Q89" s="39"/>
    </row>
    <row r="90" ht="15.75" customHeight="1">
      <c r="A90" s="36" t="s">
        <v>662</v>
      </c>
      <c r="B90" s="36" t="s">
        <v>663</v>
      </c>
      <c r="C90" s="36" t="s">
        <v>42</v>
      </c>
      <c r="D90" s="36" t="s">
        <v>366</v>
      </c>
      <c r="E90" s="36" t="s">
        <v>656</v>
      </c>
      <c r="F90" s="36">
        <v>2.0</v>
      </c>
      <c r="G90" s="36">
        <v>28.0</v>
      </c>
      <c r="H90" s="36" t="s">
        <v>658</v>
      </c>
      <c r="I90" s="37">
        <v>1.09</v>
      </c>
      <c r="J90" s="36"/>
      <c r="K90" s="36"/>
      <c r="L90" s="38">
        <v>2.0</v>
      </c>
      <c r="M90" s="38">
        <v>3.0</v>
      </c>
      <c r="N90" s="39"/>
      <c r="O90" s="39"/>
      <c r="P90" s="39"/>
      <c r="Q90" s="39"/>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Q$90"/>
  <mergeCells count="2">
    <mergeCell ref="A1:Q1"/>
    <mergeCell ref="A2:Q2"/>
  </mergeCells>
  <dataValidations>
    <dataValidation type="list" allowBlank="1" sqref="P5:P90">
      <formula1>"ACCEPT,ADJUST,DROP ITEM,NEED INFO"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7"/>
  <cols>
    <col customWidth="1" min="1" max="1" width="22.0"/>
    <col customWidth="1" min="2" max="2" width="54.0"/>
    <col customWidth="1" min="3" max="3" width="8.0"/>
    <col customWidth="1" min="4" max="4" width="10.0"/>
    <col customWidth="1" min="5" max="5" width="12.0"/>
    <col customWidth="1" min="6" max="6" width="10.0"/>
    <col customWidth="1" min="7" max="9" width="11.0"/>
    <col customWidth="1" min="10" max="10" width="26.0"/>
    <col customWidth="1" min="11" max="11" width="14.0"/>
    <col customWidth="1" min="12" max="12" width="34.0"/>
    <col customWidth="1" min="13" max="26" width="8.71"/>
  </cols>
  <sheetData>
    <row r="1" ht="25.5" customHeight="1">
      <c r="A1" s="29" t="s">
        <v>179</v>
      </c>
      <c r="B1" s="31"/>
      <c r="C1" s="31"/>
      <c r="D1" s="31"/>
      <c r="E1" s="31"/>
      <c r="F1" s="31"/>
      <c r="G1" s="31"/>
      <c r="H1" s="31"/>
      <c r="I1" s="31"/>
      <c r="J1" s="31"/>
      <c r="K1" s="31"/>
      <c r="L1" s="33"/>
    </row>
    <row r="2" ht="18.0" customHeight="1">
      <c r="A2" s="34" t="s">
        <v>188</v>
      </c>
    </row>
    <row r="4" ht="31.5" customHeight="1">
      <c r="A4" s="35" t="s">
        <v>12</v>
      </c>
      <c r="B4" s="35" t="s">
        <v>15</v>
      </c>
      <c r="C4" s="35" t="s">
        <v>140</v>
      </c>
      <c r="D4" s="35" t="s">
        <v>141</v>
      </c>
      <c r="E4" s="35" t="s">
        <v>194</v>
      </c>
      <c r="F4" s="35" t="s">
        <v>197</v>
      </c>
      <c r="G4" s="35" t="s">
        <v>198</v>
      </c>
      <c r="H4" s="35" t="s">
        <v>199</v>
      </c>
      <c r="I4" s="35" t="s">
        <v>200</v>
      </c>
      <c r="J4" s="35" t="s">
        <v>201</v>
      </c>
      <c r="K4" s="35" t="s">
        <v>153</v>
      </c>
      <c r="L4" s="35" t="s">
        <v>154</v>
      </c>
    </row>
    <row r="5">
      <c r="A5" s="36" t="s">
        <v>71</v>
      </c>
      <c r="B5" s="36" t="s">
        <v>204</v>
      </c>
      <c r="C5" s="36">
        <v>11.0</v>
      </c>
      <c r="D5" s="36">
        <v>41.0</v>
      </c>
      <c r="E5" s="37">
        <v>4.73</v>
      </c>
      <c r="F5" s="36">
        <v>52.0</v>
      </c>
      <c r="G5" s="43">
        <v>466.64</v>
      </c>
      <c r="H5" s="36" t="s">
        <v>209</v>
      </c>
      <c r="I5" s="36" t="s">
        <v>210</v>
      </c>
      <c r="J5" s="39"/>
      <c r="K5" s="39"/>
      <c r="L5" s="39"/>
    </row>
    <row r="6">
      <c r="A6" s="36" t="s">
        <v>78</v>
      </c>
      <c r="B6" s="36" t="s">
        <v>82</v>
      </c>
      <c r="C6" s="36">
        <v>10.0</v>
      </c>
      <c r="D6" s="36">
        <v>5.0</v>
      </c>
      <c r="E6" s="37">
        <v>1.0</v>
      </c>
      <c r="F6" s="36">
        <v>10.0</v>
      </c>
      <c r="G6" s="43">
        <v>100.0</v>
      </c>
      <c r="H6" s="36" t="s">
        <v>221</v>
      </c>
      <c r="I6" s="36" t="s">
        <v>222</v>
      </c>
      <c r="J6" s="39"/>
      <c r="K6" s="39"/>
      <c r="L6" s="39"/>
    </row>
    <row r="7">
      <c r="A7" s="36" t="s">
        <v>176</v>
      </c>
      <c r="B7" s="36" t="s">
        <v>225</v>
      </c>
      <c r="C7" s="36">
        <v>10.0</v>
      </c>
      <c r="D7" s="36">
        <v>49.0</v>
      </c>
      <c r="E7" s="37">
        <v>1.0</v>
      </c>
      <c r="F7" s="36">
        <v>10.0</v>
      </c>
      <c r="G7" s="43">
        <v>700.0</v>
      </c>
      <c r="H7" s="36" t="s">
        <v>229</v>
      </c>
      <c r="I7" s="36" t="s">
        <v>178</v>
      </c>
      <c r="J7" s="39"/>
      <c r="K7" s="39"/>
      <c r="L7" s="39"/>
    </row>
    <row r="8">
      <c r="A8" s="36" t="s">
        <v>176</v>
      </c>
      <c r="B8" s="36" t="s">
        <v>220</v>
      </c>
      <c r="C8" s="36">
        <v>9.0</v>
      </c>
      <c r="D8" s="36">
        <v>81.0</v>
      </c>
      <c r="E8" s="37">
        <v>1.78</v>
      </c>
      <c r="F8" s="36">
        <v>16.0</v>
      </c>
      <c r="G8" s="43">
        <v>4400.0</v>
      </c>
      <c r="H8" s="36" t="s">
        <v>236</v>
      </c>
      <c r="I8" s="36" t="s">
        <v>223</v>
      </c>
      <c r="J8" s="39"/>
      <c r="K8" s="39"/>
      <c r="L8" s="39"/>
    </row>
    <row r="9">
      <c r="A9" s="36" t="s">
        <v>240</v>
      </c>
      <c r="B9" s="36" t="s">
        <v>241</v>
      </c>
      <c r="C9" s="36">
        <v>9.0</v>
      </c>
      <c r="D9" s="36">
        <v>22.0</v>
      </c>
      <c r="E9" s="37">
        <v>62.56</v>
      </c>
      <c r="F9" s="36">
        <v>563.0</v>
      </c>
      <c r="G9" s="43">
        <v>4907.0</v>
      </c>
      <c r="H9" s="36" t="s">
        <v>243</v>
      </c>
      <c r="I9" s="36" t="s">
        <v>244</v>
      </c>
      <c r="J9" s="39"/>
      <c r="K9" s="39"/>
      <c r="L9" s="39"/>
    </row>
    <row r="10">
      <c r="A10" s="36" t="s">
        <v>157</v>
      </c>
      <c r="B10" s="36" t="s">
        <v>249</v>
      </c>
      <c r="C10" s="36">
        <v>9.0</v>
      </c>
      <c r="D10" s="36">
        <v>21.0</v>
      </c>
      <c r="E10" s="37">
        <v>1.22</v>
      </c>
      <c r="F10" s="36">
        <v>11.0</v>
      </c>
      <c r="G10" s="43">
        <v>142.76</v>
      </c>
      <c r="H10" s="36" t="s">
        <v>251</v>
      </c>
      <c r="I10" s="36" t="s">
        <v>252</v>
      </c>
      <c r="J10" s="39"/>
      <c r="K10" s="39"/>
      <c r="L10" s="39"/>
    </row>
    <row r="11">
      <c r="A11" s="36" t="s">
        <v>71</v>
      </c>
      <c r="B11" s="36" t="s">
        <v>258</v>
      </c>
      <c r="C11" s="36">
        <v>8.0</v>
      </c>
      <c r="D11" s="36">
        <v>25.0</v>
      </c>
      <c r="E11" s="37">
        <v>2.25</v>
      </c>
      <c r="F11" s="36">
        <v>18.0</v>
      </c>
      <c r="G11" s="43">
        <v>111.12</v>
      </c>
      <c r="H11" s="36" t="s">
        <v>261</v>
      </c>
      <c r="I11" s="36" t="s">
        <v>262</v>
      </c>
      <c r="J11" s="39"/>
      <c r="K11" s="39"/>
      <c r="L11" s="39"/>
    </row>
    <row r="12">
      <c r="A12" s="36" t="s">
        <v>157</v>
      </c>
      <c r="B12" s="36" t="s">
        <v>266</v>
      </c>
      <c r="C12" s="36">
        <v>8.0</v>
      </c>
      <c r="D12" s="36">
        <v>36.0</v>
      </c>
      <c r="E12" s="37">
        <v>12.5</v>
      </c>
      <c r="F12" s="36">
        <v>100.0</v>
      </c>
      <c r="G12" s="43">
        <v>1907.82</v>
      </c>
      <c r="H12" s="36" t="s">
        <v>267</v>
      </c>
      <c r="I12" s="36" t="s">
        <v>268</v>
      </c>
      <c r="J12" s="39"/>
      <c r="K12" s="39"/>
      <c r="L12" s="39"/>
    </row>
    <row r="13">
      <c r="A13" s="36" t="s">
        <v>71</v>
      </c>
      <c r="B13" s="36" t="s">
        <v>75</v>
      </c>
      <c r="C13" s="36">
        <v>7.0</v>
      </c>
      <c r="D13" s="36">
        <v>78.0</v>
      </c>
      <c r="E13" s="37">
        <v>1.57</v>
      </c>
      <c r="F13" s="36">
        <v>11.0</v>
      </c>
      <c r="G13" s="43">
        <v>74.14</v>
      </c>
      <c r="H13" s="36" t="s">
        <v>275</v>
      </c>
      <c r="I13" s="36" t="s">
        <v>277</v>
      </c>
      <c r="J13" s="39"/>
      <c r="K13" s="39"/>
      <c r="L13" s="39"/>
    </row>
    <row r="14">
      <c r="A14" s="36" t="s">
        <v>71</v>
      </c>
      <c r="B14" s="36" t="s">
        <v>279</v>
      </c>
      <c r="C14" s="36">
        <v>7.0</v>
      </c>
      <c r="D14" s="36">
        <v>54.0</v>
      </c>
      <c r="E14" s="37">
        <v>2.0</v>
      </c>
      <c r="F14" s="36">
        <v>14.0</v>
      </c>
      <c r="G14" s="43">
        <v>118.24</v>
      </c>
      <c r="H14" s="36" t="s">
        <v>261</v>
      </c>
      <c r="I14" s="36" t="s">
        <v>262</v>
      </c>
      <c r="J14" s="39"/>
      <c r="K14" s="39"/>
      <c r="L14" s="39"/>
    </row>
    <row r="15">
      <c r="A15" s="36" t="s">
        <v>240</v>
      </c>
      <c r="B15" s="36" t="s">
        <v>285</v>
      </c>
      <c r="C15" s="36">
        <v>7.0</v>
      </c>
      <c r="D15" s="36">
        <v>18.0</v>
      </c>
      <c r="E15" s="37">
        <v>4.0</v>
      </c>
      <c r="F15" s="36">
        <v>28.0</v>
      </c>
      <c r="G15" s="43">
        <v>1120.0</v>
      </c>
      <c r="H15" s="36" t="s">
        <v>288</v>
      </c>
      <c r="I15" s="36" t="s">
        <v>289</v>
      </c>
      <c r="J15" s="39"/>
      <c r="K15" s="39"/>
      <c r="L15" s="39"/>
    </row>
    <row r="16">
      <c r="A16" s="36" t="s">
        <v>157</v>
      </c>
      <c r="B16" s="36" t="s">
        <v>291</v>
      </c>
      <c r="C16" s="36">
        <v>7.0</v>
      </c>
      <c r="D16" s="36">
        <v>42.0</v>
      </c>
      <c r="E16" s="37">
        <v>3.86</v>
      </c>
      <c r="F16" s="36">
        <v>27.0</v>
      </c>
      <c r="G16" s="43">
        <v>366.96</v>
      </c>
      <c r="H16" s="36" t="s">
        <v>267</v>
      </c>
      <c r="I16" s="36" t="s">
        <v>296</v>
      </c>
      <c r="J16" s="39"/>
      <c r="K16" s="39"/>
      <c r="L16" s="39"/>
    </row>
    <row r="17">
      <c r="A17" s="36" t="s">
        <v>176</v>
      </c>
      <c r="B17" s="36" t="s">
        <v>207</v>
      </c>
      <c r="C17" s="36">
        <v>6.0</v>
      </c>
      <c r="D17" s="36">
        <v>57.0</v>
      </c>
      <c r="E17" s="37">
        <v>3.0</v>
      </c>
      <c r="F17" s="36">
        <v>18.0</v>
      </c>
      <c r="G17" s="43">
        <v>112.17</v>
      </c>
      <c r="H17" s="36" t="s">
        <v>236</v>
      </c>
      <c r="I17" s="36" t="s">
        <v>208</v>
      </c>
      <c r="J17" s="39"/>
      <c r="K17" s="39"/>
      <c r="L17" s="39"/>
    </row>
    <row r="18">
      <c r="A18" s="36" t="s">
        <v>176</v>
      </c>
      <c r="B18" s="36" t="s">
        <v>256</v>
      </c>
      <c r="C18" s="36">
        <v>6.0</v>
      </c>
      <c r="D18" s="36">
        <v>50.0</v>
      </c>
      <c r="E18" s="37">
        <v>1.83</v>
      </c>
      <c r="F18" s="36">
        <v>11.0</v>
      </c>
      <c r="G18" s="43">
        <v>528.0</v>
      </c>
      <c r="H18" s="36" t="s">
        <v>236</v>
      </c>
      <c r="I18" s="36" t="s">
        <v>260</v>
      </c>
      <c r="J18" s="39"/>
      <c r="K18" s="39"/>
      <c r="L18" s="39"/>
    </row>
    <row r="19">
      <c r="A19" s="36" t="s">
        <v>176</v>
      </c>
      <c r="B19" s="36" t="s">
        <v>281</v>
      </c>
      <c r="C19" s="36">
        <v>6.0</v>
      </c>
      <c r="D19" s="36">
        <v>121.0</v>
      </c>
      <c r="E19" s="37">
        <v>1.33</v>
      </c>
      <c r="F19" s="36">
        <v>8.0</v>
      </c>
      <c r="G19" s="43">
        <v>103.92</v>
      </c>
      <c r="H19" s="36" t="s">
        <v>229</v>
      </c>
      <c r="I19" s="36" t="s">
        <v>186</v>
      </c>
      <c r="J19" s="39"/>
      <c r="K19" s="39"/>
      <c r="L19" s="39"/>
    </row>
    <row r="20">
      <c r="A20" s="36" t="s">
        <v>307</v>
      </c>
      <c r="B20" s="36" t="s">
        <v>309</v>
      </c>
      <c r="C20" s="36">
        <v>6.0</v>
      </c>
      <c r="D20" s="36">
        <v>102.0</v>
      </c>
      <c r="E20" s="37">
        <v>2000.0</v>
      </c>
      <c r="F20" s="36">
        <v>12000.0</v>
      </c>
      <c r="G20" s="43">
        <v>1908.0</v>
      </c>
      <c r="H20" s="36" t="s">
        <v>312</v>
      </c>
      <c r="I20" s="36" t="s">
        <v>313</v>
      </c>
      <c r="J20" s="39"/>
      <c r="K20" s="39"/>
      <c r="L20" s="39"/>
    </row>
    <row r="21" ht="15.75" customHeight="1">
      <c r="A21" s="36" t="s">
        <v>307</v>
      </c>
      <c r="B21" s="36" t="s">
        <v>317</v>
      </c>
      <c r="C21" s="36">
        <v>6.0</v>
      </c>
      <c r="D21" s="36">
        <v>102.0</v>
      </c>
      <c r="E21" s="37">
        <v>1.0</v>
      </c>
      <c r="F21" s="36">
        <v>6.0</v>
      </c>
      <c r="G21" s="43">
        <v>598.85</v>
      </c>
      <c r="H21" s="36" t="s">
        <v>312</v>
      </c>
      <c r="I21" s="36" t="s">
        <v>313</v>
      </c>
      <c r="J21" s="39"/>
      <c r="K21" s="39"/>
      <c r="L21" s="39"/>
    </row>
    <row r="22" ht="15.75" customHeight="1">
      <c r="A22" s="36" t="s">
        <v>176</v>
      </c>
      <c r="B22" s="36" t="s">
        <v>321</v>
      </c>
      <c r="C22" s="36">
        <v>6.0</v>
      </c>
      <c r="D22" s="36">
        <v>64.0</v>
      </c>
      <c r="E22" s="37">
        <v>3.83</v>
      </c>
      <c r="F22" s="36">
        <v>23.0</v>
      </c>
      <c r="G22" s="43">
        <v>552.0</v>
      </c>
      <c r="H22" s="36" t="s">
        <v>262</v>
      </c>
      <c r="I22" s="36" t="s">
        <v>178</v>
      </c>
      <c r="J22" s="39"/>
      <c r="K22" s="39"/>
      <c r="L22" s="39"/>
    </row>
    <row r="23" ht="15.75" customHeight="1">
      <c r="A23" s="36" t="s">
        <v>240</v>
      </c>
      <c r="B23" s="36" t="s">
        <v>325</v>
      </c>
      <c r="C23" s="36">
        <v>6.0</v>
      </c>
      <c r="D23" s="36">
        <v>34.0</v>
      </c>
      <c r="E23" s="37">
        <v>38.33</v>
      </c>
      <c r="F23" s="36">
        <v>230.0</v>
      </c>
      <c r="G23" s="43">
        <v>3022.5</v>
      </c>
      <c r="H23" s="36" t="s">
        <v>243</v>
      </c>
      <c r="I23" s="36" t="s">
        <v>244</v>
      </c>
      <c r="J23" s="39"/>
      <c r="K23" s="39"/>
      <c r="L23" s="39"/>
    </row>
    <row r="24" ht="15.75" customHeight="1">
      <c r="A24" s="36" t="s">
        <v>157</v>
      </c>
      <c r="B24" s="36" t="s">
        <v>330</v>
      </c>
      <c r="C24" s="36">
        <v>6.0</v>
      </c>
      <c r="D24" s="36">
        <v>37.0</v>
      </c>
      <c r="E24" s="37">
        <v>5.83</v>
      </c>
      <c r="F24" s="36">
        <v>35.0</v>
      </c>
      <c r="G24" s="43">
        <v>342.7</v>
      </c>
      <c r="H24" s="36" t="s">
        <v>335</v>
      </c>
      <c r="I24" s="36" t="s">
        <v>336</v>
      </c>
      <c r="J24" s="39"/>
      <c r="K24" s="39"/>
      <c r="L24" s="39"/>
    </row>
    <row r="25" ht="15.75" customHeight="1">
      <c r="A25" s="36" t="s">
        <v>71</v>
      </c>
      <c r="B25" s="36" t="s">
        <v>331</v>
      </c>
      <c r="C25" s="36">
        <v>5.0</v>
      </c>
      <c r="D25" s="36">
        <v>100.0</v>
      </c>
      <c r="E25" s="37">
        <v>1.0</v>
      </c>
      <c r="F25" s="36">
        <v>5.0</v>
      </c>
      <c r="G25" s="43">
        <v>47.79</v>
      </c>
      <c r="H25" s="36" t="s">
        <v>209</v>
      </c>
      <c r="I25" s="36" t="s">
        <v>262</v>
      </c>
      <c r="J25" s="39"/>
      <c r="K25" s="39"/>
      <c r="L25" s="39"/>
    </row>
    <row r="26" ht="15.75" customHeight="1">
      <c r="A26" s="36" t="s">
        <v>71</v>
      </c>
      <c r="B26" s="36" t="s">
        <v>343</v>
      </c>
      <c r="C26" s="36">
        <v>5.0</v>
      </c>
      <c r="D26" s="36">
        <v>114.0</v>
      </c>
      <c r="E26" s="37">
        <v>1.8</v>
      </c>
      <c r="F26" s="36">
        <v>9.0</v>
      </c>
      <c r="G26" s="43">
        <v>75.73</v>
      </c>
      <c r="H26" s="36" t="s">
        <v>261</v>
      </c>
      <c r="I26" s="36" t="s">
        <v>347</v>
      </c>
      <c r="J26" s="39"/>
      <c r="K26" s="39"/>
      <c r="L26" s="39"/>
    </row>
    <row r="27" ht="15.75" customHeight="1">
      <c r="A27" s="36" t="s">
        <v>176</v>
      </c>
      <c r="B27" s="36" t="s">
        <v>351</v>
      </c>
      <c r="C27" s="36">
        <v>5.0</v>
      </c>
      <c r="D27" s="36">
        <v>70.0</v>
      </c>
      <c r="E27" s="37">
        <v>1.2</v>
      </c>
      <c r="F27" s="36">
        <v>6.0</v>
      </c>
      <c r="G27" s="43">
        <v>780.0</v>
      </c>
      <c r="H27" s="36" t="s">
        <v>236</v>
      </c>
      <c r="I27" s="36" t="s">
        <v>208</v>
      </c>
      <c r="J27" s="39"/>
      <c r="K27" s="39"/>
      <c r="L27" s="39"/>
    </row>
    <row r="28" ht="15.75" customHeight="1">
      <c r="A28" s="36" t="s">
        <v>240</v>
      </c>
      <c r="B28" s="36" t="s">
        <v>355</v>
      </c>
      <c r="C28" s="36">
        <v>5.0</v>
      </c>
      <c r="D28" s="36">
        <v>40.0</v>
      </c>
      <c r="E28" s="37">
        <v>1.8</v>
      </c>
      <c r="F28" s="36">
        <v>9.0</v>
      </c>
      <c r="G28" s="43">
        <v>900.0</v>
      </c>
      <c r="H28" s="36" t="s">
        <v>358</v>
      </c>
      <c r="I28" s="36" t="s">
        <v>359</v>
      </c>
      <c r="J28" s="39"/>
      <c r="K28" s="39"/>
      <c r="L28" s="39"/>
    </row>
    <row r="29" ht="15.75" customHeight="1">
      <c r="A29" s="36" t="s">
        <v>240</v>
      </c>
      <c r="B29" s="36" t="s">
        <v>360</v>
      </c>
      <c r="C29" s="36">
        <v>5.0</v>
      </c>
      <c r="D29" s="36">
        <v>33.0</v>
      </c>
      <c r="E29" s="37">
        <v>41.0</v>
      </c>
      <c r="F29" s="36">
        <v>205.0</v>
      </c>
      <c r="G29" s="43">
        <v>1695.0</v>
      </c>
      <c r="H29" s="36" t="s">
        <v>364</v>
      </c>
      <c r="I29" s="36" t="s">
        <v>244</v>
      </c>
      <c r="J29" s="39"/>
      <c r="K29" s="39"/>
      <c r="L29" s="39"/>
    </row>
    <row r="30" ht="15.75" customHeight="1">
      <c r="A30" s="36" t="s">
        <v>366</v>
      </c>
      <c r="B30" s="36" t="s">
        <v>367</v>
      </c>
      <c r="C30" s="36">
        <v>5.0</v>
      </c>
      <c r="D30" s="36">
        <v>12.0</v>
      </c>
      <c r="E30" s="37">
        <v>1.0</v>
      </c>
      <c r="F30" s="36">
        <v>5.0</v>
      </c>
      <c r="G30" s="43">
        <v>125.0</v>
      </c>
      <c r="H30" s="36" t="s">
        <v>371</v>
      </c>
      <c r="I30" s="36" t="s">
        <v>373</v>
      </c>
      <c r="J30" s="39"/>
      <c r="K30" s="39"/>
      <c r="L30" s="39"/>
    </row>
    <row r="31" ht="15.75" customHeight="1">
      <c r="A31" s="36" t="s">
        <v>157</v>
      </c>
      <c r="B31" s="36" t="s">
        <v>376</v>
      </c>
      <c r="C31" s="36">
        <v>5.0</v>
      </c>
      <c r="D31" s="36">
        <v>50.0</v>
      </c>
      <c r="E31" s="37">
        <v>1.6</v>
      </c>
      <c r="F31" s="36">
        <v>8.0</v>
      </c>
      <c r="G31" s="43">
        <v>116.87</v>
      </c>
      <c r="H31" s="36" t="s">
        <v>377</v>
      </c>
      <c r="I31" s="36" t="s">
        <v>160</v>
      </c>
      <c r="J31" s="39"/>
      <c r="K31" s="39"/>
      <c r="L31" s="39"/>
    </row>
    <row r="32" ht="15.75" customHeight="1">
      <c r="A32" s="36" t="s">
        <v>157</v>
      </c>
      <c r="B32" s="36" t="s">
        <v>381</v>
      </c>
      <c r="C32" s="36">
        <v>5.0</v>
      </c>
      <c r="D32" s="36">
        <v>21.0</v>
      </c>
      <c r="E32" s="37">
        <v>3.6</v>
      </c>
      <c r="F32" s="36">
        <v>18.0</v>
      </c>
      <c r="G32" s="43">
        <v>290.82</v>
      </c>
      <c r="H32" s="36" t="s">
        <v>384</v>
      </c>
      <c r="I32" s="36" t="s">
        <v>386</v>
      </c>
      <c r="J32" s="39"/>
      <c r="K32" s="39"/>
      <c r="L32" s="39"/>
    </row>
    <row r="33" ht="15.75" customHeight="1">
      <c r="A33" s="36" t="s">
        <v>157</v>
      </c>
      <c r="B33" s="36" t="s">
        <v>389</v>
      </c>
      <c r="C33" s="36">
        <v>5.0</v>
      </c>
      <c r="D33" s="36">
        <v>34.0</v>
      </c>
      <c r="E33" s="37">
        <v>1.4</v>
      </c>
      <c r="F33" s="36">
        <v>7.0</v>
      </c>
      <c r="G33" s="43">
        <v>1056.16</v>
      </c>
      <c r="H33" s="36" t="s">
        <v>390</v>
      </c>
      <c r="I33" s="36" t="s">
        <v>205</v>
      </c>
      <c r="J33" s="39"/>
      <c r="K33" s="39"/>
      <c r="L33" s="39"/>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33"/>
  <mergeCells count="2">
    <mergeCell ref="A1:L1"/>
    <mergeCell ref="A2:L2"/>
  </mergeCells>
  <dataValidations>
    <dataValidation type="list" allowBlank="1" sqref="K5:K33">
      <formula1>"RAISE MIN-MAX,CONSOLIDATE ORDERS,CORRECT AS IS,NEED INFO"</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7"/>
  <cols>
    <col customWidth="1" min="1" max="1" width="22.0"/>
    <col customWidth="1" min="2" max="2" width="58.0"/>
    <col customWidth="1" min="3" max="3" width="11.0"/>
    <col customWidth="1" min="4" max="4" width="8.0"/>
    <col customWidth="1" min="5" max="5" width="12.0"/>
    <col customWidth="1" min="6" max="6" width="10.0"/>
    <col customWidth="1" min="7" max="7" width="14.0"/>
    <col customWidth="1" min="8" max="8" width="16.0"/>
    <col customWidth="1" min="9" max="9" width="40.0"/>
    <col customWidth="1" min="10" max="26" width="8.71"/>
  </cols>
  <sheetData>
    <row r="1" ht="25.5" customHeight="1">
      <c r="A1" s="29" t="s">
        <v>550</v>
      </c>
      <c r="B1" s="31"/>
      <c r="C1" s="31"/>
      <c r="D1" s="31"/>
      <c r="E1" s="31"/>
      <c r="F1" s="31"/>
      <c r="G1" s="31"/>
      <c r="H1" s="31"/>
      <c r="I1" s="33"/>
    </row>
    <row r="2" ht="18.0" customHeight="1">
      <c r="A2" s="34" t="s">
        <v>551</v>
      </c>
    </row>
    <row r="4" ht="31.5" customHeight="1">
      <c r="A4" s="35" t="s">
        <v>12</v>
      </c>
      <c r="B4" s="35" t="s">
        <v>15</v>
      </c>
      <c r="C4" s="35" t="s">
        <v>198</v>
      </c>
      <c r="D4" s="35" t="s">
        <v>18</v>
      </c>
      <c r="E4" s="35" t="s">
        <v>6</v>
      </c>
      <c r="F4" s="35" t="s">
        <v>554</v>
      </c>
      <c r="G4" s="35" t="s">
        <v>555</v>
      </c>
      <c r="H4" s="35" t="s">
        <v>153</v>
      </c>
      <c r="I4" s="35" t="s">
        <v>154</v>
      </c>
    </row>
    <row r="5">
      <c r="A5" s="36" t="s">
        <v>78</v>
      </c>
      <c r="B5" s="36" t="s">
        <v>97</v>
      </c>
      <c r="C5" s="43">
        <v>8820.0</v>
      </c>
      <c r="D5" s="36">
        <v>1.0</v>
      </c>
      <c r="E5" s="36" t="s">
        <v>560</v>
      </c>
      <c r="F5" s="36">
        <v>1029.0</v>
      </c>
      <c r="G5" s="39"/>
      <c r="H5" s="39"/>
      <c r="I5" s="39"/>
    </row>
    <row r="6">
      <c r="A6" s="36" t="s">
        <v>78</v>
      </c>
      <c r="B6" s="36" t="s">
        <v>102</v>
      </c>
      <c r="C6" s="43">
        <v>3510.0</v>
      </c>
      <c r="D6" s="36">
        <v>1.0</v>
      </c>
      <c r="E6" s="36" t="s">
        <v>560</v>
      </c>
      <c r="F6" s="36">
        <v>1029.0</v>
      </c>
      <c r="G6" s="39"/>
      <c r="H6" s="39"/>
      <c r="I6" s="39"/>
    </row>
    <row r="7">
      <c r="A7" s="36" t="s">
        <v>78</v>
      </c>
      <c r="B7" s="36" t="s">
        <v>99</v>
      </c>
      <c r="C7" s="43">
        <v>3150.0</v>
      </c>
      <c r="D7" s="36">
        <v>1.0</v>
      </c>
      <c r="E7" s="36" t="s">
        <v>560</v>
      </c>
      <c r="F7" s="36">
        <v>1029.0</v>
      </c>
      <c r="G7" s="39"/>
      <c r="H7" s="39"/>
      <c r="I7" s="39"/>
    </row>
    <row r="8">
      <c r="A8" s="36" t="s">
        <v>78</v>
      </c>
      <c r="B8" s="36" t="s">
        <v>96</v>
      </c>
      <c r="C8" s="43">
        <v>2520.0</v>
      </c>
      <c r="D8" s="36">
        <v>1.0</v>
      </c>
      <c r="E8" s="36" t="s">
        <v>560</v>
      </c>
      <c r="F8" s="36">
        <v>1029.0</v>
      </c>
      <c r="G8" s="39"/>
      <c r="H8" s="39"/>
      <c r="I8" s="39"/>
    </row>
    <row r="9">
      <c r="A9" s="36" t="s">
        <v>78</v>
      </c>
      <c r="B9" s="36" t="s">
        <v>106</v>
      </c>
      <c r="C9" s="43">
        <v>1732.5</v>
      </c>
      <c r="D9" s="36">
        <v>1.0</v>
      </c>
      <c r="E9" s="36" t="s">
        <v>560</v>
      </c>
      <c r="F9" s="36">
        <v>1029.0</v>
      </c>
      <c r="G9" s="39"/>
      <c r="H9" s="39"/>
      <c r="I9" s="39"/>
    </row>
    <row r="10">
      <c r="A10" s="36" t="s">
        <v>366</v>
      </c>
      <c r="B10" s="36" t="s">
        <v>573</v>
      </c>
      <c r="C10" s="43">
        <v>969.6</v>
      </c>
      <c r="D10" s="36">
        <v>6.0</v>
      </c>
      <c r="E10" s="36" t="s">
        <v>576</v>
      </c>
      <c r="F10" s="36">
        <v>510.0</v>
      </c>
      <c r="G10" s="39"/>
      <c r="H10" s="39"/>
      <c r="I10" s="39"/>
    </row>
    <row r="11">
      <c r="A11" s="36" t="s">
        <v>78</v>
      </c>
      <c r="B11" s="36" t="s">
        <v>227</v>
      </c>
      <c r="C11" s="43">
        <v>930.0</v>
      </c>
      <c r="D11" s="36">
        <v>600.0</v>
      </c>
      <c r="E11" s="36" t="s">
        <v>577</v>
      </c>
      <c r="F11" s="36">
        <v>1003.0</v>
      </c>
      <c r="G11" s="39"/>
      <c r="H11" s="39"/>
      <c r="I11" s="39"/>
    </row>
    <row r="12">
      <c r="A12" s="36" t="s">
        <v>78</v>
      </c>
      <c r="B12" s="36" t="s">
        <v>93</v>
      </c>
      <c r="C12" s="43">
        <v>882.0</v>
      </c>
      <c r="D12" s="36">
        <v>1.0</v>
      </c>
      <c r="E12" s="36" t="s">
        <v>560</v>
      </c>
      <c r="F12" s="36">
        <v>1029.0</v>
      </c>
      <c r="G12" s="39"/>
      <c r="H12" s="39"/>
      <c r="I12" s="39"/>
    </row>
    <row r="13">
      <c r="A13" s="36" t="s">
        <v>157</v>
      </c>
      <c r="B13" s="36" t="s">
        <v>583</v>
      </c>
      <c r="C13" s="43">
        <v>818.25</v>
      </c>
      <c r="D13" s="36">
        <v>1.0</v>
      </c>
      <c r="E13" s="36" t="s">
        <v>585</v>
      </c>
      <c r="F13" s="36">
        <v>349.0</v>
      </c>
      <c r="G13" s="39"/>
      <c r="H13" s="39"/>
      <c r="I13" s="39"/>
    </row>
    <row r="14">
      <c r="A14" s="36" t="s">
        <v>71</v>
      </c>
      <c r="B14" s="36" t="s">
        <v>495</v>
      </c>
      <c r="C14" s="43">
        <v>773.76</v>
      </c>
      <c r="D14" s="36">
        <v>52.0</v>
      </c>
      <c r="E14" s="36" t="s">
        <v>590</v>
      </c>
      <c r="F14" s="36">
        <v>810.0</v>
      </c>
      <c r="G14" s="39"/>
      <c r="H14" s="39"/>
      <c r="I14" s="39"/>
    </row>
    <row r="15">
      <c r="A15" s="36" t="s">
        <v>78</v>
      </c>
      <c r="B15" s="36" t="s">
        <v>161</v>
      </c>
      <c r="C15" s="43">
        <v>753.6</v>
      </c>
      <c r="D15" s="36">
        <v>1.0</v>
      </c>
      <c r="E15" s="36" t="s">
        <v>592</v>
      </c>
      <c r="F15" s="36">
        <v>1016.0</v>
      </c>
      <c r="G15" s="39"/>
      <c r="H15" s="39"/>
      <c r="I15" s="39"/>
    </row>
    <row r="16">
      <c r="A16" s="36" t="s">
        <v>78</v>
      </c>
      <c r="B16" s="36" t="s">
        <v>133</v>
      </c>
      <c r="C16" s="43">
        <v>580.5</v>
      </c>
      <c r="D16" s="36">
        <v>5.0</v>
      </c>
      <c r="E16" s="36" t="s">
        <v>593</v>
      </c>
      <c r="F16" s="36">
        <v>1022.0</v>
      </c>
      <c r="G16" s="39"/>
      <c r="H16" s="39"/>
      <c r="I16" s="39"/>
    </row>
    <row r="17">
      <c r="A17" s="36" t="s">
        <v>41</v>
      </c>
      <c r="B17" s="36" t="s">
        <v>597</v>
      </c>
      <c r="C17" s="43">
        <v>531.0</v>
      </c>
      <c r="D17" s="36">
        <v>300.0</v>
      </c>
      <c r="E17" s="36" t="s">
        <v>262</v>
      </c>
      <c r="F17" s="36">
        <v>590.0</v>
      </c>
      <c r="G17" s="39"/>
      <c r="H17" s="39"/>
      <c r="I17" s="39"/>
    </row>
    <row r="18">
      <c r="A18" s="36" t="s">
        <v>41</v>
      </c>
      <c r="B18" s="36" t="s">
        <v>461</v>
      </c>
      <c r="C18" s="43">
        <v>482.4</v>
      </c>
      <c r="D18" s="36">
        <v>120.0</v>
      </c>
      <c r="E18" s="36" t="s">
        <v>603</v>
      </c>
      <c r="F18" s="36">
        <v>834.0</v>
      </c>
      <c r="G18" s="39"/>
      <c r="H18" s="39"/>
      <c r="I18" s="39"/>
    </row>
    <row r="19">
      <c r="A19" s="36" t="s">
        <v>41</v>
      </c>
      <c r="B19" s="36" t="s">
        <v>476</v>
      </c>
      <c r="C19" s="43">
        <v>465.0</v>
      </c>
      <c r="D19" s="36">
        <v>111.68</v>
      </c>
      <c r="E19" s="36" t="s">
        <v>603</v>
      </c>
      <c r="F19" s="36">
        <v>834.0</v>
      </c>
      <c r="G19" s="39"/>
      <c r="H19" s="39"/>
      <c r="I19" s="39"/>
    </row>
    <row r="20">
      <c r="A20" s="36" t="s">
        <v>157</v>
      </c>
      <c r="B20" s="36" t="s">
        <v>609</v>
      </c>
      <c r="C20" s="43">
        <v>419.5</v>
      </c>
      <c r="D20" s="36">
        <v>10.0</v>
      </c>
      <c r="E20" s="36" t="s">
        <v>610</v>
      </c>
      <c r="F20" s="36">
        <v>268.0</v>
      </c>
      <c r="G20" s="39"/>
      <c r="H20" s="39"/>
      <c r="I20" s="39"/>
    </row>
    <row r="21" ht="15.75" customHeight="1">
      <c r="A21" s="36" t="s">
        <v>41</v>
      </c>
      <c r="B21" s="36" t="s">
        <v>457</v>
      </c>
      <c r="C21" s="43">
        <v>388.8</v>
      </c>
      <c r="D21" s="36">
        <v>80.0</v>
      </c>
      <c r="E21" s="36" t="s">
        <v>603</v>
      </c>
      <c r="F21" s="36">
        <v>834.0</v>
      </c>
      <c r="G21" s="39"/>
      <c r="H21" s="39"/>
      <c r="I21" s="39"/>
    </row>
    <row r="22" ht="15.75" customHeight="1">
      <c r="A22" s="36" t="s">
        <v>240</v>
      </c>
      <c r="B22" s="36" t="s">
        <v>615</v>
      </c>
      <c r="C22" s="43">
        <v>388.0</v>
      </c>
      <c r="D22" s="36">
        <v>2.0</v>
      </c>
      <c r="E22" s="36" t="s">
        <v>564</v>
      </c>
      <c r="F22" s="36">
        <v>460.0</v>
      </c>
      <c r="G22" s="39"/>
      <c r="H22" s="39"/>
      <c r="I22" s="39"/>
    </row>
    <row r="23" ht="15.75" customHeight="1">
      <c r="A23" s="36" t="s">
        <v>240</v>
      </c>
      <c r="B23" s="36" t="s">
        <v>620</v>
      </c>
      <c r="C23" s="43">
        <v>375.0</v>
      </c>
      <c r="D23" s="36">
        <v>1.0</v>
      </c>
      <c r="E23" s="36" t="s">
        <v>543</v>
      </c>
      <c r="F23" s="36">
        <v>378.0</v>
      </c>
      <c r="G23" s="39"/>
      <c r="H23" s="39"/>
      <c r="I23" s="39"/>
    </row>
    <row r="24" ht="15.75" customHeight="1">
      <c r="A24" s="36" t="s">
        <v>157</v>
      </c>
      <c r="B24" s="36" t="s">
        <v>624</v>
      </c>
      <c r="C24" s="43">
        <v>359.73</v>
      </c>
      <c r="D24" s="36">
        <v>9.0</v>
      </c>
      <c r="E24" s="36" t="s">
        <v>626</v>
      </c>
      <c r="F24" s="36">
        <v>345.0</v>
      </c>
      <c r="G24" s="39"/>
      <c r="H24" s="39"/>
      <c r="I24" s="39"/>
    </row>
    <row r="25" ht="15.75" customHeight="1">
      <c r="A25" s="36" t="s">
        <v>71</v>
      </c>
      <c r="B25" s="36" t="s">
        <v>406</v>
      </c>
      <c r="C25" s="43">
        <v>312.96</v>
      </c>
      <c r="D25" s="36">
        <v>24.0</v>
      </c>
      <c r="E25" s="36" t="s">
        <v>629</v>
      </c>
      <c r="F25" s="36">
        <v>932.0</v>
      </c>
      <c r="G25" s="39"/>
      <c r="H25" s="39"/>
      <c r="I25" s="39"/>
    </row>
    <row r="26" ht="15.75" customHeight="1">
      <c r="A26" s="36" t="s">
        <v>41</v>
      </c>
      <c r="B26" s="36" t="s">
        <v>633</v>
      </c>
      <c r="C26" s="43">
        <v>285.0</v>
      </c>
      <c r="D26" s="36">
        <v>250.0</v>
      </c>
      <c r="E26" s="36" t="s">
        <v>405</v>
      </c>
      <c r="F26" s="36">
        <v>552.0</v>
      </c>
      <c r="G26" s="39"/>
      <c r="H26" s="39"/>
      <c r="I26" s="39"/>
    </row>
    <row r="27" ht="15.75" customHeight="1">
      <c r="A27" s="36" t="s">
        <v>41</v>
      </c>
      <c r="B27" s="36" t="s">
        <v>638</v>
      </c>
      <c r="C27" s="43">
        <v>263.2</v>
      </c>
      <c r="D27" s="36">
        <v>80.0</v>
      </c>
      <c r="E27" s="36" t="s">
        <v>405</v>
      </c>
      <c r="F27" s="36">
        <v>552.0</v>
      </c>
      <c r="G27" s="39"/>
      <c r="H27" s="39"/>
      <c r="I27" s="39"/>
    </row>
    <row r="28" ht="15.75" customHeight="1">
      <c r="A28" s="36" t="s">
        <v>41</v>
      </c>
      <c r="B28" s="36" t="s">
        <v>642</v>
      </c>
      <c r="C28" s="43">
        <v>249.2</v>
      </c>
      <c r="D28" s="36">
        <v>140.0</v>
      </c>
      <c r="E28" s="36" t="s">
        <v>643</v>
      </c>
      <c r="F28" s="36">
        <v>554.0</v>
      </c>
      <c r="G28" s="39"/>
      <c r="H28" s="39"/>
      <c r="I28" s="39"/>
    </row>
    <row r="29" ht="15.75" customHeight="1">
      <c r="A29" s="36" t="s">
        <v>176</v>
      </c>
      <c r="B29" s="36" t="s">
        <v>646</v>
      </c>
      <c r="C29" s="43">
        <v>225.0</v>
      </c>
      <c r="D29" s="36">
        <v>1.0</v>
      </c>
      <c r="E29" s="36" t="s">
        <v>649</v>
      </c>
      <c r="F29" s="36">
        <v>429.0</v>
      </c>
      <c r="G29" s="39"/>
      <c r="H29" s="39"/>
      <c r="I29" s="39"/>
    </row>
    <row r="30" ht="15.75" customHeight="1">
      <c r="A30" s="36" t="s">
        <v>157</v>
      </c>
      <c r="B30" s="36" t="s">
        <v>651</v>
      </c>
      <c r="C30" s="43">
        <v>218.6</v>
      </c>
      <c r="D30" s="36">
        <v>4.0</v>
      </c>
      <c r="E30" s="36" t="s">
        <v>653</v>
      </c>
      <c r="F30" s="36">
        <v>313.0</v>
      </c>
      <c r="G30" s="39"/>
      <c r="H30" s="39"/>
      <c r="I30" s="39"/>
    </row>
    <row r="31" ht="15.75" customHeight="1">
      <c r="A31" s="36" t="s">
        <v>41</v>
      </c>
      <c r="B31" s="36" t="s">
        <v>437</v>
      </c>
      <c r="C31" s="43">
        <v>208.8</v>
      </c>
      <c r="D31" s="36">
        <v>20.0</v>
      </c>
      <c r="E31" s="36" t="s">
        <v>657</v>
      </c>
      <c r="F31" s="36">
        <v>841.0</v>
      </c>
      <c r="G31" s="39"/>
      <c r="H31" s="39"/>
      <c r="I31" s="39"/>
    </row>
    <row r="32" ht="15.75" customHeight="1">
      <c r="A32" s="36" t="s">
        <v>240</v>
      </c>
      <c r="B32" s="36" t="s">
        <v>660</v>
      </c>
      <c r="C32" s="43">
        <v>200.0</v>
      </c>
      <c r="D32" s="36">
        <v>4.0</v>
      </c>
      <c r="E32" s="36" t="s">
        <v>661</v>
      </c>
      <c r="F32" s="36">
        <v>474.0</v>
      </c>
      <c r="G32" s="39"/>
      <c r="H32" s="39"/>
      <c r="I32" s="39"/>
    </row>
    <row r="33" ht="15.75" customHeight="1">
      <c r="A33" s="36" t="s">
        <v>157</v>
      </c>
      <c r="B33" s="36" t="s">
        <v>664</v>
      </c>
      <c r="C33" s="43">
        <v>179.9</v>
      </c>
      <c r="D33" s="36">
        <v>10.0</v>
      </c>
      <c r="E33" s="36" t="s">
        <v>453</v>
      </c>
      <c r="F33" s="36">
        <v>225.0</v>
      </c>
      <c r="G33" s="39"/>
      <c r="H33" s="39"/>
      <c r="I33" s="39"/>
    </row>
    <row r="34" ht="15.75" customHeight="1">
      <c r="A34" s="36" t="s">
        <v>157</v>
      </c>
      <c r="B34" s="36" t="s">
        <v>665</v>
      </c>
      <c r="C34" s="43">
        <v>172.9</v>
      </c>
      <c r="D34" s="36">
        <v>7.0</v>
      </c>
      <c r="E34" s="36" t="s">
        <v>335</v>
      </c>
      <c r="F34" s="36">
        <v>261.0</v>
      </c>
      <c r="G34" s="39"/>
      <c r="H34" s="39"/>
      <c r="I34" s="39"/>
    </row>
    <row r="35" ht="15.75" customHeight="1">
      <c r="A35" s="36" t="s">
        <v>41</v>
      </c>
      <c r="B35" s="36" t="s">
        <v>666</v>
      </c>
      <c r="C35" s="43">
        <v>154.74</v>
      </c>
      <c r="D35" s="36">
        <v>3.0</v>
      </c>
      <c r="E35" s="36" t="s">
        <v>668</v>
      </c>
      <c r="F35" s="36">
        <v>534.0</v>
      </c>
      <c r="G35" s="39"/>
      <c r="H35" s="39"/>
      <c r="I35" s="39"/>
    </row>
    <row r="36" ht="15.75" customHeight="1">
      <c r="A36" s="36" t="s">
        <v>78</v>
      </c>
      <c r="B36" s="36" t="s">
        <v>165</v>
      </c>
      <c r="C36" s="43">
        <v>152.01</v>
      </c>
      <c r="D36" s="36">
        <v>27.0</v>
      </c>
      <c r="E36" s="36" t="s">
        <v>670</v>
      </c>
      <c r="F36" s="36">
        <v>1010.0</v>
      </c>
      <c r="G36" s="39"/>
      <c r="H36" s="39"/>
      <c r="I36" s="39"/>
    </row>
    <row r="37" ht="15.75" customHeight="1">
      <c r="A37" s="36" t="s">
        <v>366</v>
      </c>
      <c r="B37" s="36" t="s">
        <v>671</v>
      </c>
      <c r="C37" s="43">
        <v>147.7</v>
      </c>
      <c r="D37" s="36">
        <v>4.0</v>
      </c>
      <c r="E37" s="36" t="s">
        <v>672</v>
      </c>
      <c r="F37" s="36">
        <v>495.0</v>
      </c>
      <c r="G37" s="39"/>
      <c r="H37" s="39"/>
      <c r="I37" s="39"/>
    </row>
    <row r="38" ht="15.75" customHeight="1">
      <c r="A38" s="36" t="s">
        <v>78</v>
      </c>
      <c r="B38" s="36" t="s">
        <v>108</v>
      </c>
      <c r="C38" s="43">
        <v>143.55</v>
      </c>
      <c r="D38" s="36">
        <v>1.0</v>
      </c>
      <c r="E38" s="36" t="s">
        <v>673</v>
      </c>
      <c r="F38" s="36">
        <v>1028.0</v>
      </c>
      <c r="G38" s="39"/>
      <c r="H38" s="39"/>
      <c r="I38" s="39"/>
    </row>
    <row r="39" ht="15.75" customHeight="1">
      <c r="A39" s="36" t="s">
        <v>157</v>
      </c>
      <c r="B39" s="36" t="s">
        <v>674</v>
      </c>
      <c r="C39" s="43">
        <v>142.14</v>
      </c>
      <c r="D39" s="36">
        <v>6.0</v>
      </c>
      <c r="E39" s="36" t="s">
        <v>675</v>
      </c>
      <c r="F39" s="36">
        <v>288.0</v>
      </c>
      <c r="G39" s="39"/>
      <c r="H39" s="39"/>
      <c r="I39" s="39"/>
    </row>
    <row r="40" ht="15.75" customHeight="1">
      <c r="A40" s="36" t="s">
        <v>366</v>
      </c>
      <c r="B40" s="36" t="s">
        <v>676</v>
      </c>
      <c r="C40" s="43">
        <v>136.35</v>
      </c>
      <c r="D40" s="36">
        <v>5.0</v>
      </c>
      <c r="E40" s="36" t="s">
        <v>677</v>
      </c>
      <c r="F40" s="36">
        <v>428.0</v>
      </c>
      <c r="G40" s="39"/>
      <c r="H40" s="39"/>
      <c r="I40" s="39"/>
    </row>
    <row r="41" ht="15.75" customHeight="1">
      <c r="A41" s="36" t="s">
        <v>41</v>
      </c>
      <c r="B41" s="36" t="s">
        <v>679</v>
      </c>
      <c r="C41" s="43">
        <v>136.0</v>
      </c>
      <c r="D41" s="36">
        <v>100.0</v>
      </c>
      <c r="E41" s="36" t="s">
        <v>405</v>
      </c>
      <c r="F41" s="36">
        <v>552.0</v>
      </c>
      <c r="G41" s="39"/>
      <c r="H41" s="39"/>
      <c r="I41" s="39"/>
    </row>
    <row r="42" ht="15.75" customHeight="1">
      <c r="A42" s="36" t="s">
        <v>78</v>
      </c>
      <c r="B42" s="36" t="s">
        <v>276</v>
      </c>
      <c r="C42" s="43">
        <v>132.48</v>
      </c>
      <c r="D42" s="36">
        <v>48.0</v>
      </c>
      <c r="E42" s="36" t="s">
        <v>414</v>
      </c>
      <c r="F42" s="36">
        <v>989.0</v>
      </c>
      <c r="G42" s="39"/>
      <c r="H42" s="39"/>
      <c r="I42" s="39"/>
    </row>
    <row r="43" ht="15.75" customHeight="1">
      <c r="A43" s="36" t="s">
        <v>78</v>
      </c>
      <c r="B43" s="36" t="s">
        <v>255</v>
      </c>
      <c r="C43" s="43">
        <v>129.9</v>
      </c>
      <c r="D43" s="36">
        <v>30.0</v>
      </c>
      <c r="E43" s="36" t="s">
        <v>682</v>
      </c>
      <c r="F43" s="36">
        <v>992.0</v>
      </c>
      <c r="G43" s="39"/>
      <c r="H43" s="39"/>
      <c r="I43" s="39"/>
    </row>
    <row r="44" ht="15.75" customHeight="1">
      <c r="A44" s="36" t="s">
        <v>157</v>
      </c>
      <c r="B44" s="36" t="s">
        <v>683</v>
      </c>
      <c r="C44" s="43">
        <v>129.9</v>
      </c>
      <c r="D44" s="36">
        <v>10.0</v>
      </c>
      <c r="E44" s="36" t="s">
        <v>684</v>
      </c>
      <c r="F44" s="36">
        <v>251.0</v>
      </c>
      <c r="G44" s="39"/>
      <c r="H44" s="39"/>
      <c r="I44" s="39"/>
    </row>
    <row r="45" ht="15.75" customHeight="1">
      <c r="A45" s="36" t="s">
        <v>157</v>
      </c>
      <c r="B45" s="36" t="s">
        <v>687</v>
      </c>
      <c r="C45" s="43">
        <v>125.64</v>
      </c>
      <c r="D45" s="36">
        <v>2.0</v>
      </c>
      <c r="E45" s="36" t="s">
        <v>653</v>
      </c>
      <c r="F45" s="36">
        <v>313.0</v>
      </c>
      <c r="G45" s="39"/>
      <c r="H45" s="39"/>
      <c r="I45" s="39"/>
    </row>
    <row r="46" ht="15.75" customHeight="1">
      <c r="A46" s="36" t="s">
        <v>176</v>
      </c>
      <c r="B46" s="36" t="s">
        <v>680</v>
      </c>
      <c r="C46" s="43">
        <v>125.0</v>
      </c>
      <c r="D46" s="36">
        <v>1.0</v>
      </c>
      <c r="E46" s="36" t="s">
        <v>688</v>
      </c>
      <c r="F46" s="36">
        <v>581.0</v>
      </c>
      <c r="G46" s="39"/>
      <c r="H46" s="39"/>
      <c r="I46" s="39"/>
    </row>
    <row r="47" ht="15.75" customHeight="1">
      <c r="A47" s="36" t="s">
        <v>240</v>
      </c>
      <c r="B47" s="36" t="s">
        <v>689</v>
      </c>
      <c r="C47" s="43">
        <v>125.0</v>
      </c>
      <c r="D47" s="36">
        <v>1.0</v>
      </c>
      <c r="E47" s="36" t="s">
        <v>690</v>
      </c>
      <c r="F47" s="36">
        <v>390.0</v>
      </c>
      <c r="G47" s="39"/>
      <c r="H47" s="39"/>
      <c r="I47" s="39"/>
    </row>
    <row r="48" ht="15.75" customHeight="1">
      <c r="A48" s="36" t="s">
        <v>240</v>
      </c>
      <c r="B48" s="36" t="s">
        <v>693</v>
      </c>
      <c r="C48" s="43">
        <v>120.0</v>
      </c>
      <c r="D48" s="36">
        <v>4.0</v>
      </c>
      <c r="E48" s="36" t="s">
        <v>694</v>
      </c>
      <c r="F48" s="36">
        <v>463.0</v>
      </c>
      <c r="G48" s="39"/>
      <c r="H48" s="39"/>
      <c r="I48" s="39"/>
    </row>
    <row r="49" ht="15.75" customHeight="1">
      <c r="A49" s="36" t="s">
        <v>240</v>
      </c>
      <c r="B49" s="36" t="s">
        <v>695</v>
      </c>
      <c r="C49" s="43">
        <v>120.0</v>
      </c>
      <c r="D49" s="36">
        <v>6.0</v>
      </c>
      <c r="E49" s="36" t="s">
        <v>547</v>
      </c>
      <c r="F49" s="36">
        <v>439.0</v>
      </c>
      <c r="G49" s="39"/>
      <c r="H49" s="39"/>
      <c r="I49" s="39"/>
    </row>
    <row r="50" ht="15.75" customHeight="1">
      <c r="A50" s="36" t="s">
        <v>240</v>
      </c>
      <c r="B50" s="36" t="s">
        <v>696</v>
      </c>
      <c r="C50" s="43">
        <v>120.0</v>
      </c>
      <c r="D50" s="36">
        <v>6.0</v>
      </c>
      <c r="E50" s="36" t="s">
        <v>547</v>
      </c>
      <c r="F50" s="36">
        <v>439.0</v>
      </c>
      <c r="G50" s="39"/>
      <c r="H50" s="39"/>
      <c r="I50" s="39"/>
    </row>
    <row r="51" ht="15.75" customHeight="1">
      <c r="A51" s="36" t="s">
        <v>240</v>
      </c>
      <c r="B51" s="36" t="s">
        <v>699</v>
      </c>
      <c r="C51" s="43">
        <v>120.0</v>
      </c>
      <c r="D51" s="36">
        <v>4.0</v>
      </c>
      <c r="E51" s="36" t="s">
        <v>359</v>
      </c>
      <c r="F51" s="36">
        <v>393.0</v>
      </c>
      <c r="G51" s="39"/>
      <c r="H51" s="39"/>
      <c r="I51" s="39"/>
    </row>
    <row r="52" ht="15.75" customHeight="1">
      <c r="A52" s="36" t="s">
        <v>157</v>
      </c>
      <c r="B52" s="36" t="s">
        <v>702</v>
      </c>
      <c r="C52" s="43">
        <v>118.5</v>
      </c>
      <c r="D52" s="36">
        <v>10.0</v>
      </c>
      <c r="E52" s="36" t="s">
        <v>703</v>
      </c>
      <c r="F52" s="36">
        <v>204.0</v>
      </c>
      <c r="G52" s="39"/>
      <c r="H52" s="39"/>
      <c r="I52" s="39"/>
    </row>
    <row r="53" ht="15.75" customHeight="1">
      <c r="A53" s="36" t="s">
        <v>157</v>
      </c>
      <c r="B53" s="36" t="s">
        <v>704</v>
      </c>
      <c r="C53" s="43">
        <v>110.0</v>
      </c>
      <c r="D53" s="36">
        <v>2.0</v>
      </c>
      <c r="E53" s="36" t="s">
        <v>705</v>
      </c>
      <c r="F53" s="36">
        <v>202.0</v>
      </c>
      <c r="G53" s="39"/>
      <c r="H53" s="39"/>
      <c r="I53" s="39"/>
    </row>
    <row r="54" ht="15.75" customHeight="1">
      <c r="A54" s="36" t="s">
        <v>41</v>
      </c>
      <c r="B54" s="36" t="s">
        <v>627</v>
      </c>
      <c r="C54" s="43">
        <v>109.2</v>
      </c>
      <c r="D54" s="36">
        <v>120.0</v>
      </c>
      <c r="E54" s="36" t="s">
        <v>262</v>
      </c>
      <c r="F54" s="36">
        <v>590.0</v>
      </c>
      <c r="G54" s="39"/>
      <c r="H54" s="39"/>
      <c r="I54" s="39"/>
    </row>
    <row r="55" ht="15.75" customHeight="1">
      <c r="A55" s="36" t="s">
        <v>157</v>
      </c>
      <c r="B55" s="36" t="s">
        <v>709</v>
      </c>
      <c r="C55" s="43">
        <v>108.67</v>
      </c>
      <c r="D55" s="36">
        <v>1.0</v>
      </c>
      <c r="E55" s="36" t="s">
        <v>710</v>
      </c>
      <c r="F55" s="36">
        <v>317.0</v>
      </c>
      <c r="G55" s="39"/>
      <c r="H55" s="39"/>
      <c r="I55" s="39"/>
    </row>
    <row r="56" ht="15.75" customHeight="1">
      <c r="A56" s="36" t="s">
        <v>157</v>
      </c>
      <c r="B56" s="36" t="s">
        <v>713</v>
      </c>
      <c r="C56" s="43">
        <v>108.56</v>
      </c>
      <c r="D56" s="36">
        <v>8.0</v>
      </c>
      <c r="E56" s="36" t="s">
        <v>714</v>
      </c>
      <c r="F56" s="36">
        <v>243.0</v>
      </c>
      <c r="G56" s="39"/>
      <c r="H56" s="39"/>
      <c r="I56" s="39"/>
    </row>
    <row r="57" ht="15.75" customHeight="1">
      <c r="A57" s="36" t="s">
        <v>366</v>
      </c>
      <c r="B57" s="36" t="s">
        <v>717</v>
      </c>
      <c r="C57" s="43">
        <v>107.8</v>
      </c>
      <c r="D57" s="36">
        <v>10.0</v>
      </c>
      <c r="E57" s="36" t="s">
        <v>658</v>
      </c>
      <c r="F57" s="36">
        <v>467.0</v>
      </c>
      <c r="G57" s="39"/>
      <c r="H57" s="39"/>
      <c r="I57" s="39"/>
    </row>
    <row r="58" ht="15.75" customHeight="1">
      <c r="A58" s="36" t="s">
        <v>78</v>
      </c>
      <c r="B58" s="36" t="s">
        <v>263</v>
      </c>
      <c r="C58" s="43">
        <v>102.0</v>
      </c>
      <c r="D58" s="36">
        <v>30.0</v>
      </c>
      <c r="E58" s="36" t="s">
        <v>682</v>
      </c>
      <c r="F58" s="36">
        <v>992.0</v>
      </c>
      <c r="G58" s="39"/>
      <c r="H58" s="39"/>
      <c r="I58" s="39"/>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58"/>
  <mergeCells count="2">
    <mergeCell ref="A1:I1"/>
    <mergeCell ref="A2:I2"/>
  </mergeCells>
  <dataValidations>
    <dataValidation type="list" allowBlank="1" sqref="H5:H58">
      <formula1>"ADD TO CATALOG,ONE-OFF - NO ACTION,NO LONGER USED,NEED INFO"</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7"/>
  <cols>
    <col customWidth="1" min="1" max="1" width="40.0"/>
    <col customWidth="1" min="2" max="2" width="66.0"/>
    <col customWidth="1" min="3" max="3" width="13.0"/>
    <col customWidth="1" min="4" max="4" width="18.0"/>
    <col customWidth="1" min="5" max="5" width="12.0"/>
    <col customWidth="1" min="6" max="6" width="14.0"/>
    <col customWidth="1" min="7" max="7" width="34.0"/>
    <col customWidth="1" min="8" max="26" width="8.71"/>
  </cols>
  <sheetData>
    <row r="1" ht="25.5" customHeight="1">
      <c r="A1" s="29" t="s">
        <v>789</v>
      </c>
      <c r="B1" s="31"/>
      <c r="C1" s="31"/>
      <c r="D1" s="31"/>
      <c r="E1" s="31"/>
      <c r="F1" s="31"/>
      <c r="G1" s="33"/>
    </row>
    <row r="2" ht="18.0" customHeight="1">
      <c r="A2" s="34" t="s">
        <v>792</v>
      </c>
    </row>
    <row r="4" ht="31.5" customHeight="1">
      <c r="A4" s="35" t="s">
        <v>793</v>
      </c>
      <c r="B4" s="35" t="s">
        <v>794</v>
      </c>
      <c r="C4" s="35" t="s">
        <v>795</v>
      </c>
      <c r="D4" s="35" t="s">
        <v>796</v>
      </c>
      <c r="E4" s="35" t="s">
        <v>797</v>
      </c>
      <c r="F4" s="35" t="s">
        <v>798</v>
      </c>
      <c r="G4" s="35" t="s">
        <v>28</v>
      </c>
    </row>
    <row r="5" ht="42.0" customHeight="1">
      <c r="A5" s="36" t="s">
        <v>799</v>
      </c>
      <c r="B5" s="55" t="s">
        <v>800</v>
      </c>
      <c r="C5" s="36">
        <v>207.0</v>
      </c>
      <c r="D5" s="39"/>
      <c r="E5" s="39"/>
      <c r="F5" s="39"/>
      <c r="G5" s="39"/>
    </row>
    <row r="6" ht="42.0" customHeight="1">
      <c r="A6" s="36" t="s">
        <v>805</v>
      </c>
      <c r="B6" s="55" t="s">
        <v>806</v>
      </c>
      <c r="C6" s="36">
        <v>207.0</v>
      </c>
      <c r="D6" s="39"/>
      <c r="E6" s="39"/>
      <c r="F6" s="39"/>
      <c r="G6" s="39"/>
    </row>
    <row r="7" ht="42.0" customHeight="1">
      <c r="A7" s="36" t="s">
        <v>807</v>
      </c>
      <c r="B7" s="55" t="s">
        <v>809</v>
      </c>
      <c r="C7" s="36">
        <v>32.0</v>
      </c>
      <c r="D7" s="39"/>
      <c r="E7" s="39"/>
      <c r="F7" s="39"/>
      <c r="G7" s="39"/>
    </row>
    <row r="8" ht="42.0" customHeight="1">
      <c r="A8" s="36" t="s">
        <v>813</v>
      </c>
      <c r="B8" s="55" t="s">
        <v>814</v>
      </c>
      <c r="C8" s="36">
        <v>14.0</v>
      </c>
      <c r="D8" s="39"/>
      <c r="E8" s="39"/>
      <c r="F8" s="39"/>
      <c r="G8" s="39"/>
    </row>
    <row r="9" ht="42.0" customHeight="1">
      <c r="A9" s="36" t="s">
        <v>818</v>
      </c>
      <c r="B9" s="55" t="s">
        <v>819</v>
      </c>
      <c r="C9" s="36">
        <v>18.0</v>
      </c>
      <c r="D9" s="39"/>
      <c r="E9" s="39"/>
      <c r="F9" s="39"/>
      <c r="G9" s="39"/>
    </row>
    <row r="10" ht="42.0" customHeight="1">
      <c r="A10" s="36" t="s">
        <v>821</v>
      </c>
      <c r="B10" s="55" t="s">
        <v>823</v>
      </c>
      <c r="C10" s="36">
        <v>0.0</v>
      </c>
      <c r="D10" s="39"/>
      <c r="E10" s="39"/>
      <c r="F10" s="39"/>
      <c r="G10" s="39"/>
    </row>
    <row r="11" ht="42.0" customHeight="1">
      <c r="A11" s="36" t="s">
        <v>826</v>
      </c>
      <c r="B11" s="55" t="s">
        <v>829</v>
      </c>
      <c r="C11" s="36">
        <v>18.0</v>
      </c>
      <c r="D11" s="39"/>
      <c r="E11" s="39"/>
      <c r="F11" s="39"/>
      <c r="G11" s="39"/>
    </row>
    <row r="12" ht="42.0" customHeight="1">
      <c r="A12" s="36" t="s">
        <v>830</v>
      </c>
      <c r="B12" s="55" t="s">
        <v>831</v>
      </c>
      <c r="C12" s="36">
        <v>92.0</v>
      </c>
      <c r="D12" s="39"/>
      <c r="E12" s="39"/>
      <c r="F12" s="39"/>
      <c r="G12" s="39"/>
    </row>
    <row r="13" ht="42.0" customHeight="1">
      <c r="A13" s="36" t="s">
        <v>834</v>
      </c>
      <c r="B13" s="55" t="s">
        <v>835</v>
      </c>
      <c r="C13" s="36">
        <v>7.0</v>
      </c>
      <c r="D13" s="39"/>
      <c r="E13" s="39"/>
      <c r="F13" s="39"/>
      <c r="G13"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dataValidations>
    <dataValidation type="list" allowBlank="1" sqref="F5:F13">
      <formula1>"NOT STARTED,IN PROGRESS,DONE"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7"/>
  <cols>
    <col customWidth="1" min="1" max="1" width="26.0"/>
    <col customWidth="1" min="2" max="2" width="50.0"/>
    <col customWidth="1" min="3" max="3" width="9.0"/>
    <col customWidth="1" min="4" max="4" width="13.0"/>
    <col customWidth="1" min="5" max="5" width="52.0"/>
    <col customWidth="1" min="6" max="26" width="8.71"/>
  </cols>
  <sheetData>
    <row r="1" ht="25.5" customHeight="1">
      <c r="A1" s="29" t="s">
        <v>843</v>
      </c>
      <c r="B1" s="31"/>
      <c r="C1" s="31"/>
      <c r="D1" s="31"/>
      <c r="E1" s="33"/>
    </row>
    <row r="2" ht="18.0" customHeight="1">
      <c r="A2" s="34" t="s">
        <v>847</v>
      </c>
    </row>
    <row r="4" ht="31.5" customHeight="1">
      <c r="A4" s="35" t="s">
        <v>12</v>
      </c>
      <c r="B4" s="35" t="s">
        <v>849</v>
      </c>
      <c r="C4" s="35" t="s">
        <v>851</v>
      </c>
      <c r="D4" s="35" t="s">
        <v>852</v>
      </c>
      <c r="E4" s="35" t="s">
        <v>853</v>
      </c>
    </row>
    <row r="5">
      <c r="A5" s="36" t="s">
        <v>307</v>
      </c>
      <c r="B5" s="36" t="s">
        <v>317</v>
      </c>
      <c r="C5" s="36">
        <v>6.0</v>
      </c>
      <c r="D5" s="43">
        <v>598.85</v>
      </c>
      <c r="E5" s="36" t="s">
        <v>855</v>
      </c>
    </row>
    <row r="6">
      <c r="A6" s="36" t="s">
        <v>856</v>
      </c>
      <c r="B6" s="36" t="s">
        <v>857</v>
      </c>
      <c r="C6" s="36">
        <v>1.0</v>
      </c>
      <c r="D6" s="43">
        <v>331.0</v>
      </c>
      <c r="E6" s="36" t="s">
        <v>855</v>
      </c>
    </row>
    <row r="7">
      <c r="A7" s="36" t="s">
        <v>366</v>
      </c>
      <c r="B7" s="36" t="s">
        <v>367</v>
      </c>
      <c r="C7" s="36">
        <v>5.0</v>
      </c>
      <c r="D7" s="43">
        <v>125.0</v>
      </c>
      <c r="E7" s="36" t="s">
        <v>855</v>
      </c>
    </row>
    <row r="8">
      <c r="A8" s="36" t="s">
        <v>78</v>
      </c>
      <c r="B8" s="36" t="s">
        <v>82</v>
      </c>
      <c r="C8" s="36">
        <v>10.0</v>
      </c>
      <c r="D8" s="43">
        <v>100.0</v>
      </c>
      <c r="E8" s="36" t="s">
        <v>855</v>
      </c>
    </row>
    <row r="9">
      <c r="A9" s="36" t="s">
        <v>71</v>
      </c>
      <c r="B9" s="36" t="s">
        <v>479</v>
      </c>
      <c r="C9" s="36">
        <v>1.0</v>
      </c>
      <c r="D9" s="43">
        <v>92.33</v>
      </c>
      <c r="E9" s="36" t="s">
        <v>855</v>
      </c>
    </row>
    <row r="10">
      <c r="A10" s="36" t="s">
        <v>366</v>
      </c>
      <c r="B10" s="36" t="s">
        <v>772</v>
      </c>
      <c r="C10" s="36">
        <v>2.0</v>
      </c>
      <c r="D10" s="43">
        <v>73.92</v>
      </c>
      <c r="E10" s="36" t="s">
        <v>855</v>
      </c>
    </row>
    <row r="11">
      <c r="A11" s="36" t="s">
        <v>366</v>
      </c>
      <c r="B11" s="36" t="s">
        <v>767</v>
      </c>
      <c r="C11" s="36">
        <v>4.0</v>
      </c>
      <c r="D11" s="43">
        <v>42.9</v>
      </c>
      <c r="E11" s="36" t="s">
        <v>855</v>
      </c>
    </row>
    <row r="12">
      <c r="A12" s="36" t="s">
        <v>366</v>
      </c>
      <c r="B12" s="36" t="s">
        <v>765</v>
      </c>
      <c r="C12" s="36">
        <v>4.0</v>
      </c>
      <c r="D12" s="43">
        <v>36.0</v>
      </c>
      <c r="E12" s="36" t="s">
        <v>855</v>
      </c>
    </row>
    <row r="13">
      <c r="A13" s="36" t="s">
        <v>366</v>
      </c>
      <c r="B13" s="36" t="s">
        <v>774</v>
      </c>
      <c r="C13" s="36">
        <v>2.0</v>
      </c>
      <c r="D13" s="43">
        <v>19.9</v>
      </c>
      <c r="E13" s="36" t="s">
        <v>855</v>
      </c>
    </row>
    <row r="14">
      <c r="A14" s="36" t="s">
        <v>366</v>
      </c>
      <c r="B14" s="36" t="s">
        <v>777</v>
      </c>
      <c r="C14" s="36">
        <v>2.0</v>
      </c>
      <c r="D14" s="43">
        <v>5.91</v>
      </c>
      <c r="E14" s="36" t="s">
        <v>855</v>
      </c>
    </row>
    <row r="15">
      <c r="A15" s="36" t="s">
        <v>71</v>
      </c>
      <c r="B15" s="36" t="s">
        <v>72</v>
      </c>
      <c r="C15" s="36">
        <v>1.0</v>
      </c>
      <c r="D15" s="43">
        <v>-192.42</v>
      </c>
      <c r="E15" s="36" t="s">
        <v>855</v>
      </c>
    </row>
    <row r="16">
      <c r="A16" s="56"/>
      <c r="B16" s="56" t="s">
        <v>866</v>
      </c>
      <c r="C16" s="56">
        <v>38.0</v>
      </c>
      <c r="D16" s="57">
        <v>1233.39</v>
      </c>
      <c r="E16"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7"/>
  <cols>
    <col customWidth="1" min="1" max="1" width="22.0"/>
    <col customWidth="1" min="2" max="2" width="54.0"/>
    <col customWidth="1" min="3" max="3" width="8.0"/>
    <col customWidth="1" min="4" max="4" width="10.0"/>
    <col customWidth="1" min="5" max="5" width="11.0"/>
    <col customWidth="1" min="6" max="6" width="12.0"/>
    <col customWidth="1" min="7" max="8" width="11.0"/>
    <col customWidth="1" min="9" max="9" width="18.0"/>
    <col customWidth="1" min="10" max="10" width="30.0"/>
    <col customWidth="1" min="11" max="26" width="8.71"/>
  </cols>
  <sheetData>
    <row r="1" ht="25.5" customHeight="1">
      <c r="A1" s="29" t="s">
        <v>891</v>
      </c>
      <c r="B1" s="31"/>
      <c r="C1" s="31"/>
      <c r="D1" s="31"/>
      <c r="E1" s="31"/>
      <c r="F1" s="31"/>
      <c r="G1" s="31"/>
      <c r="H1" s="31"/>
      <c r="I1" s="31"/>
      <c r="J1" s="33"/>
    </row>
    <row r="2" ht="18.0" customHeight="1">
      <c r="A2" s="34" t="s">
        <v>892</v>
      </c>
    </row>
    <row r="4" ht="31.5" customHeight="1">
      <c r="A4" s="35" t="s">
        <v>12</v>
      </c>
      <c r="B4" s="35" t="s">
        <v>15</v>
      </c>
      <c r="C4" s="35" t="s">
        <v>140</v>
      </c>
      <c r="D4" s="35" t="s">
        <v>141</v>
      </c>
      <c r="E4" s="35" t="s">
        <v>143</v>
      </c>
      <c r="F4" s="35" t="s">
        <v>142</v>
      </c>
      <c r="G4" s="35" t="s">
        <v>148</v>
      </c>
      <c r="H4" s="35" t="s">
        <v>150</v>
      </c>
      <c r="I4" s="35" t="s">
        <v>153</v>
      </c>
      <c r="J4" s="35" t="s">
        <v>28</v>
      </c>
    </row>
    <row r="5">
      <c r="A5" s="36" t="s">
        <v>157</v>
      </c>
      <c r="B5" s="36" t="s">
        <v>249</v>
      </c>
      <c r="C5" s="36">
        <v>9.0</v>
      </c>
      <c r="D5" s="36">
        <v>21.0</v>
      </c>
      <c r="E5" s="37">
        <v>1.59</v>
      </c>
      <c r="F5" s="36" t="s">
        <v>252</v>
      </c>
      <c r="G5" s="38">
        <v>2.0</v>
      </c>
      <c r="H5" s="38">
        <v>4.0</v>
      </c>
      <c r="I5" s="39"/>
      <c r="J5" s="39"/>
    </row>
    <row r="6">
      <c r="A6" s="36" t="s">
        <v>307</v>
      </c>
      <c r="B6" s="36" t="s">
        <v>309</v>
      </c>
      <c r="C6" s="36">
        <v>6.0</v>
      </c>
      <c r="D6" s="36">
        <v>102.0</v>
      </c>
      <c r="E6" s="37">
        <v>477.99</v>
      </c>
      <c r="F6" s="36" t="s">
        <v>313</v>
      </c>
      <c r="G6" s="38">
        <v>478.0</v>
      </c>
      <c r="H6" s="38">
        <v>1195.0</v>
      </c>
      <c r="I6" s="39"/>
      <c r="J6" s="39"/>
    </row>
    <row r="7">
      <c r="A7" s="36" t="s">
        <v>176</v>
      </c>
      <c r="B7" s="36" t="s">
        <v>321</v>
      </c>
      <c r="C7" s="36">
        <v>6.0</v>
      </c>
      <c r="D7" s="36">
        <v>64.0</v>
      </c>
      <c r="E7" s="37">
        <v>0.73</v>
      </c>
      <c r="F7" s="36" t="s">
        <v>178</v>
      </c>
      <c r="G7" s="38">
        <v>1.0</v>
      </c>
      <c r="H7" s="38">
        <v>2.0</v>
      </c>
      <c r="I7" s="39"/>
      <c r="J7" s="39"/>
    </row>
    <row r="8">
      <c r="A8" s="36" t="s">
        <v>176</v>
      </c>
      <c r="B8" s="36" t="s">
        <v>351</v>
      </c>
      <c r="C8" s="36">
        <v>5.0</v>
      </c>
      <c r="D8" s="36">
        <v>70.0</v>
      </c>
      <c r="E8" s="37">
        <v>0.3</v>
      </c>
      <c r="F8" s="36" t="s">
        <v>208</v>
      </c>
      <c r="G8" s="38">
        <v>1.0</v>
      </c>
      <c r="H8" s="38">
        <v>2.0</v>
      </c>
      <c r="I8" s="39"/>
      <c r="J8" s="39"/>
    </row>
    <row r="9">
      <c r="A9" s="36" t="s">
        <v>157</v>
      </c>
      <c r="B9" s="36" t="s">
        <v>898</v>
      </c>
      <c r="C9" s="36">
        <v>4.0</v>
      </c>
      <c r="D9" s="36">
        <v>20.0</v>
      </c>
      <c r="E9" s="37">
        <v>4.55</v>
      </c>
      <c r="F9" s="36" t="s">
        <v>899</v>
      </c>
      <c r="G9" s="38">
        <v>5.0</v>
      </c>
      <c r="H9" s="38">
        <v>12.0</v>
      </c>
      <c r="I9" s="39"/>
      <c r="J9" s="39"/>
    </row>
    <row r="10">
      <c r="A10" s="36" t="s">
        <v>157</v>
      </c>
      <c r="B10" s="36" t="s">
        <v>901</v>
      </c>
      <c r="C10" s="36">
        <v>4.0</v>
      </c>
      <c r="D10" s="36">
        <v>8.0</v>
      </c>
      <c r="E10" s="37">
        <v>1.69</v>
      </c>
      <c r="F10" s="36" t="s">
        <v>902</v>
      </c>
      <c r="G10" s="38">
        <v>2.0</v>
      </c>
      <c r="H10" s="38">
        <v>5.0</v>
      </c>
      <c r="I10" s="39"/>
      <c r="J10" s="39"/>
    </row>
    <row r="11">
      <c r="A11" s="36" t="s">
        <v>157</v>
      </c>
      <c r="B11" s="36" t="s">
        <v>903</v>
      </c>
      <c r="C11" s="36">
        <v>4.0</v>
      </c>
      <c r="D11" s="36">
        <v>35.0</v>
      </c>
      <c r="E11" s="37">
        <v>1.22</v>
      </c>
      <c r="F11" s="36" t="s">
        <v>178</v>
      </c>
      <c r="G11" s="38">
        <v>2.0</v>
      </c>
      <c r="H11" s="38">
        <v>4.0</v>
      </c>
      <c r="I11" s="39"/>
      <c r="J11" s="39"/>
    </row>
    <row r="12">
      <c r="A12" s="36" t="s">
        <v>157</v>
      </c>
      <c r="B12" s="36" t="s">
        <v>904</v>
      </c>
      <c r="C12" s="36">
        <v>4.0</v>
      </c>
      <c r="D12" s="36">
        <v>71.0</v>
      </c>
      <c r="E12" s="37">
        <v>0.92</v>
      </c>
      <c r="F12" s="36" t="s">
        <v>357</v>
      </c>
      <c r="G12" s="38">
        <v>1.0</v>
      </c>
      <c r="H12" s="38">
        <v>3.0</v>
      </c>
      <c r="I12" s="39"/>
      <c r="J12" s="39"/>
    </row>
    <row r="13">
      <c r="A13" s="36" t="s">
        <v>157</v>
      </c>
      <c r="B13" s="36" t="s">
        <v>905</v>
      </c>
      <c r="C13" s="36">
        <v>3.0</v>
      </c>
      <c r="D13" s="36">
        <v>2.0</v>
      </c>
      <c r="E13" s="37">
        <v>30.4</v>
      </c>
      <c r="F13" s="36" t="s">
        <v>448</v>
      </c>
      <c r="G13" s="38">
        <v>31.0</v>
      </c>
      <c r="H13" s="38">
        <v>76.0</v>
      </c>
      <c r="I13" s="39"/>
      <c r="J13" s="39"/>
    </row>
    <row r="14">
      <c r="A14" s="36" t="s">
        <v>71</v>
      </c>
      <c r="B14" s="36" t="s">
        <v>409</v>
      </c>
      <c r="C14" s="36">
        <v>3.0</v>
      </c>
      <c r="D14" s="36">
        <v>61.0</v>
      </c>
      <c r="E14" s="37">
        <v>15.95</v>
      </c>
      <c r="F14" s="36" t="s">
        <v>590</v>
      </c>
      <c r="G14" s="38">
        <v>16.0</v>
      </c>
      <c r="H14" s="38">
        <v>40.0</v>
      </c>
      <c r="I14" s="39"/>
      <c r="J14" s="39"/>
    </row>
    <row r="15">
      <c r="A15" s="36" t="s">
        <v>157</v>
      </c>
      <c r="B15" s="36" t="s">
        <v>907</v>
      </c>
      <c r="C15" s="36">
        <v>3.0</v>
      </c>
      <c r="D15" s="36">
        <v>19.0</v>
      </c>
      <c r="E15" s="37">
        <v>4.68</v>
      </c>
      <c r="F15" s="36" t="s">
        <v>251</v>
      </c>
      <c r="G15" s="38">
        <v>5.0</v>
      </c>
      <c r="H15" s="38">
        <v>12.0</v>
      </c>
      <c r="I15" s="39"/>
      <c r="J15" s="39"/>
    </row>
    <row r="16">
      <c r="A16" s="36" t="s">
        <v>157</v>
      </c>
      <c r="B16" s="36" t="s">
        <v>909</v>
      </c>
      <c r="C16" s="36">
        <v>3.0</v>
      </c>
      <c r="D16" s="36">
        <v>38.0</v>
      </c>
      <c r="E16" s="37">
        <v>1.58</v>
      </c>
      <c r="F16" s="36" t="s">
        <v>714</v>
      </c>
      <c r="G16" s="38">
        <v>2.0</v>
      </c>
      <c r="H16" s="38">
        <v>4.0</v>
      </c>
      <c r="I16" s="39"/>
      <c r="J16" s="39"/>
    </row>
    <row r="17">
      <c r="A17" s="36" t="s">
        <v>157</v>
      </c>
      <c r="B17" s="36" t="s">
        <v>911</v>
      </c>
      <c r="C17" s="36">
        <v>3.0</v>
      </c>
      <c r="D17" s="36">
        <v>40.0</v>
      </c>
      <c r="E17" s="37">
        <v>0.76</v>
      </c>
      <c r="F17" s="36" t="s">
        <v>714</v>
      </c>
      <c r="G17" s="38">
        <v>1.0</v>
      </c>
      <c r="H17" s="38">
        <v>2.0</v>
      </c>
      <c r="I17" s="39"/>
      <c r="J17" s="39"/>
    </row>
    <row r="18">
      <c r="A18" s="36" t="s">
        <v>157</v>
      </c>
      <c r="B18" s="36" t="s">
        <v>912</v>
      </c>
      <c r="C18" s="36">
        <v>3.0</v>
      </c>
      <c r="D18" s="36">
        <v>40.0</v>
      </c>
      <c r="E18" s="37">
        <v>0.75</v>
      </c>
      <c r="F18" s="36" t="s">
        <v>913</v>
      </c>
      <c r="G18" s="38">
        <v>1.0</v>
      </c>
      <c r="H18" s="38">
        <v>2.0</v>
      </c>
      <c r="I18" s="39"/>
      <c r="J18" s="39"/>
    </row>
    <row r="19">
      <c r="A19" s="36" t="s">
        <v>157</v>
      </c>
      <c r="B19" s="36" t="s">
        <v>914</v>
      </c>
      <c r="C19" s="36">
        <v>3.0</v>
      </c>
      <c r="D19" s="36">
        <v>74.0</v>
      </c>
      <c r="E19" s="37">
        <v>0.41</v>
      </c>
      <c r="F19" s="36" t="s">
        <v>178</v>
      </c>
      <c r="G19" s="38">
        <v>1.0</v>
      </c>
      <c r="H19" s="38">
        <v>2.0</v>
      </c>
      <c r="I19" s="39"/>
      <c r="J19" s="39"/>
    </row>
    <row r="20">
      <c r="A20" s="36" t="s">
        <v>176</v>
      </c>
      <c r="B20" s="36" t="s">
        <v>509</v>
      </c>
      <c r="C20" s="36">
        <v>3.0</v>
      </c>
      <c r="D20" s="36">
        <v>308.0</v>
      </c>
      <c r="E20" s="37">
        <v>0.15</v>
      </c>
      <c r="F20" s="36" t="s">
        <v>322</v>
      </c>
      <c r="G20" s="38">
        <v>1.0</v>
      </c>
      <c r="H20" s="38">
        <v>2.0</v>
      </c>
      <c r="I20" s="39"/>
      <c r="J20" s="39"/>
    </row>
    <row r="21" ht="15.75" customHeight="1">
      <c r="A21" s="36" t="s">
        <v>41</v>
      </c>
      <c r="B21" s="36" t="s">
        <v>441</v>
      </c>
      <c r="C21" s="36">
        <v>2.0</v>
      </c>
      <c r="D21" s="36">
        <v>7.0</v>
      </c>
      <c r="E21" s="37">
        <v>1389.71</v>
      </c>
      <c r="F21" s="36" t="s">
        <v>603</v>
      </c>
      <c r="G21" s="38">
        <v>1390.0</v>
      </c>
      <c r="H21" s="38">
        <v>3475.0</v>
      </c>
      <c r="I21" s="39"/>
      <c r="J21" s="39"/>
    </row>
    <row r="22" ht="15.75" customHeight="1">
      <c r="A22" s="36" t="s">
        <v>78</v>
      </c>
      <c r="B22" s="36" t="s">
        <v>169</v>
      </c>
      <c r="C22" s="36">
        <v>2.0</v>
      </c>
      <c r="D22" s="36">
        <v>14.0</v>
      </c>
      <c r="E22" s="37">
        <v>319.2</v>
      </c>
      <c r="F22" s="36" t="s">
        <v>916</v>
      </c>
      <c r="G22" s="38">
        <v>320.0</v>
      </c>
      <c r="H22" s="38">
        <v>798.0</v>
      </c>
      <c r="I22" s="39"/>
      <c r="J22" s="39"/>
    </row>
    <row r="23" ht="15.75" customHeight="1">
      <c r="A23" s="36" t="s">
        <v>157</v>
      </c>
      <c r="B23" s="36" t="s">
        <v>918</v>
      </c>
      <c r="C23" s="36">
        <v>2.0</v>
      </c>
      <c r="D23" s="36">
        <v>1.0</v>
      </c>
      <c r="E23" s="37">
        <v>152.0</v>
      </c>
      <c r="F23" s="36" t="s">
        <v>919</v>
      </c>
      <c r="G23" s="38">
        <v>152.0</v>
      </c>
      <c r="H23" s="38">
        <v>380.0</v>
      </c>
      <c r="I23" s="39"/>
      <c r="J23" s="39"/>
    </row>
    <row r="24" ht="15.75" customHeight="1">
      <c r="A24" s="36" t="s">
        <v>78</v>
      </c>
      <c r="B24" s="36" t="s">
        <v>171</v>
      </c>
      <c r="C24" s="36">
        <v>2.0</v>
      </c>
      <c r="D24" s="36">
        <v>14.0</v>
      </c>
      <c r="E24" s="37">
        <v>108.57</v>
      </c>
      <c r="F24" s="36" t="s">
        <v>916</v>
      </c>
      <c r="G24" s="38">
        <v>109.0</v>
      </c>
      <c r="H24" s="38">
        <v>272.0</v>
      </c>
      <c r="I24" s="39"/>
      <c r="J24" s="39"/>
    </row>
    <row r="25" ht="15.75" customHeight="1">
      <c r="A25" s="36" t="s">
        <v>41</v>
      </c>
      <c r="B25" s="36" t="s">
        <v>60</v>
      </c>
      <c r="C25" s="36">
        <v>2.0</v>
      </c>
      <c r="D25" s="36">
        <v>376.0</v>
      </c>
      <c r="E25" s="37">
        <v>40.43</v>
      </c>
      <c r="F25" s="36" t="s">
        <v>603</v>
      </c>
      <c r="G25" s="38">
        <v>41.0</v>
      </c>
      <c r="H25" s="38">
        <v>102.0</v>
      </c>
      <c r="I25" s="39"/>
      <c r="J25" s="39"/>
    </row>
    <row r="26" ht="15.75" customHeight="1">
      <c r="A26" s="36" t="s">
        <v>41</v>
      </c>
      <c r="B26" s="36" t="s">
        <v>44</v>
      </c>
      <c r="C26" s="36">
        <v>2.0</v>
      </c>
      <c r="D26" s="36">
        <v>376.0</v>
      </c>
      <c r="E26" s="37">
        <v>32.34</v>
      </c>
      <c r="F26" s="36" t="s">
        <v>603</v>
      </c>
      <c r="G26" s="38">
        <v>33.0</v>
      </c>
      <c r="H26" s="38">
        <v>81.0</v>
      </c>
      <c r="I26" s="39"/>
      <c r="J26" s="39"/>
    </row>
    <row r="27" ht="15.75" customHeight="1">
      <c r="A27" s="36" t="s">
        <v>366</v>
      </c>
      <c r="B27" s="36" t="s">
        <v>790</v>
      </c>
      <c r="C27" s="36">
        <v>2.0</v>
      </c>
      <c r="D27" s="36">
        <v>7.0</v>
      </c>
      <c r="E27" s="37">
        <v>26.06</v>
      </c>
      <c r="F27" s="36" t="s">
        <v>927</v>
      </c>
      <c r="G27" s="38">
        <v>27.0</v>
      </c>
      <c r="H27" s="38">
        <v>66.0</v>
      </c>
      <c r="I27" s="39"/>
      <c r="J27" s="39"/>
    </row>
    <row r="28" ht="15.75" customHeight="1">
      <c r="A28" s="36" t="s">
        <v>71</v>
      </c>
      <c r="B28" s="36" t="s">
        <v>399</v>
      </c>
      <c r="C28" s="36">
        <v>2.0</v>
      </c>
      <c r="D28" s="36">
        <v>114.0</v>
      </c>
      <c r="E28" s="37">
        <v>13.87</v>
      </c>
      <c r="F28" s="36" t="s">
        <v>929</v>
      </c>
      <c r="G28" s="38">
        <v>14.0</v>
      </c>
      <c r="H28" s="38">
        <v>35.0</v>
      </c>
      <c r="I28" s="39"/>
      <c r="J28" s="39"/>
    </row>
    <row r="29" ht="15.75" customHeight="1">
      <c r="A29" s="36" t="s">
        <v>157</v>
      </c>
      <c r="B29" s="36" t="s">
        <v>930</v>
      </c>
      <c r="C29" s="36">
        <v>2.0</v>
      </c>
      <c r="D29" s="36">
        <v>3.0</v>
      </c>
      <c r="E29" s="37">
        <v>10.13</v>
      </c>
      <c r="F29" s="36" t="s">
        <v>931</v>
      </c>
      <c r="G29" s="38">
        <v>11.0</v>
      </c>
      <c r="H29" s="38">
        <v>26.0</v>
      </c>
      <c r="I29" s="39"/>
      <c r="J29" s="39"/>
    </row>
    <row r="30" ht="15.75" customHeight="1">
      <c r="A30" s="36" t="s">
        <v>78</v>
      </c>
      <c r="B30" s="36" t="s">
        <v>147</v>
      </c>
      <c r="C30" s="36">
        <v>2.0</v>
      </c>
      <c r="D30" s="36">
        <v>33.0</v>
      </c>
      <c r="E30" s="37">
        <v>4.61</v>
      </c>
      <c r="F30" s="36" t="s">
        <v>420</v>
      </c>
      <c r="G30" s="38">
        <v>5.0</v>
      </c>
      <c r="H30" s="38">
        <v>12.0</v>
      </c>
      <c r="I30" s="39"/>
      <c r="J30" s="39"/>
    </row>
    <row r="31" ht="15.75" customHeight="1">
      <c r="A31" s="36" t="s">
        <v>157</v>
      </c>
      <c r="B31" s="36" t="s">
        <v>933</v>
      </c>
      <c r="C31" s="36">
        <v>2.0</v>
      </c>
      <c r="D31" s="36">
        <v>20.0</v>
      </c>
      <c r="E31" s="37">
        <v>3.04</v>
      </c>
      <c r="F31" s="36" t="s">
        <v>610</v>
      </c>
      <c r="G31" s="38">
        <v>4.0</v>
      </c>
      <c r="H31" s="38">
        <v>8.0</v>
      </c>
      <c r="I31" s="39"/>
      <c r="J31" s="39"/>
    </row>
    <row r="32" ht="15.75" customHeight="1">
      <c r="A32" s="36" t="s">
        <v>157</v>
      </c>
      <c r="B32" s="36" t="s">
        <v>934</v>
      </c>
      <c r="C32" s="36">
        <v>2.0</v>
      </c>
      <c r="D32" s="36">
        <v>26.0</v>
      </c>
      <c r="E32" s="37">
        <v>2.34</v>
      </c>
      <c r="F32" s="36" t="s">
        <v>448</v>
      </c>
      <c r="G32" s="38">
        <v>3.0</v>
      </c>
      <c r="H32" s="38">
        <v>6.0</v>
      </c>
      <c r="I32" s="39"/>
      <c r="J32" s="39"/>
    </row>
    <row r="33" ht="15.75" customHeight="1">
      <c r="A33" s="36" t="s">
        <v>157</v>
      </c>
      <c r="B33" s="36" t="s">
        <v>935</v>
      </c>
      <c r="C33" s="36">
        <v>2.0</v>
      </c>
      <c r="D33" s="36">
        <v>14.0</v>
      </c>
      <c r="E33" s="37">
        <v>2.17</v>
      </c>
      <c r="F33" s="36" t="s">
        <v>936</v>
      </c>
      <c r="G33" s="38">
        <v>3.0</v>
      </c>
      <c r="H33" s="38">
        <v>6.0</v>
      </c>
      <c r="I33" s="39"/>
      <c r="J33" s="39"/>
    </row>
    <row r="34" ht="15.75" customHeight="1">
      <c r="A34" s="36" t="s">
        <v>157</v>
      </c>
      <c r="B34" s="36" t="s">
        <v>937</v>
      </c>
      <c r="C34" s="36">
        <v>2.0</v>
      </c>
      <c r="D34" s="36">
        <v>28.0</v>
      </c>
      <c r="E34" s="37">
        <v>2.17</v>
      </c>
      <c r="F34" s="36" t="s">
        <v>938</v>
      </c>
      <c r="G34" s="38">
        <v>3.0</v>
      </c>
      <c r="H34" s="38">
        <v>6.0</v>
      </c>
      <c r="I34" s="39"/>
      <c r="J34" s="39"/>
    </row>
    <row r="35" ht="15.75" customHeight="1">
      <c r="A35" s="36" t="s">
        <v>157</v>
      </c>
      <c r="B35" s="36" t="s">
        <v>940</v>
      </c>
      <c r="C35" s="36">
        <v>2.0</v>
      </c>
      <c r="D35" s="36">
        <v>101.0</v>
      </c>
      <c r="E35" s="37">
        <v>1.2</v>
      </c>
      <c r="F35" s="36" t="s">
        <v>384</v>
      </c>
      <c r="G35" s="38">
        <v>2.0</v>
      </c>
      <c r="H35" s="38">
        <v>4.0</v>
      </c>
      <c r="I35" s="39"/>
      <c r="J35" s="39"/>
    </row>
    <row r="36" ht="15.75" customHeight="1">
      <c r="A36" s="36" t="s">
        <v>157</v>
      </c>
      <c r="B36" s="36" t="s">
        <v>942</v>
      </c>
      <c r="C36" s="36">
        <v>2.0</v>
      </c>
      <c r="D36" s="36">
        <v>110.0</v>
      </c>
      <c r="E36" s="37">
        <v>1.11</v>
      </c>
      <c r="F36" s="36" t="s">
        <v>943</v>
      </c>
      <c r="G36" s="38">
        <v>2.0</v>
      </c>
      <c r="H36" s="38">
        <v>3.0</v>
      </c>
      <c r="I36" s="39"/>
      <c r="J36" s="39"/>
    </row>
    <row r="37" ht="15.75" customHeight="1">
      <c r="A37" s="36" t="s">
        <v>157</v>
      </c>
      <c r="B37" s="36" t="s">
        <v>947</v>
      </c>
      <c r="C37" s="36">
        <v>2.0</v>
      </c>
      <c r="D37" s="36">
        <v>70.0</v>
      </c>
      <c r="E37" s="37">
        <v>0.87</v>
      </c>
      <c r="F37" s="36" t="s">
        <v>948</v>
      </c>
      <c r="G37" s="38">
        <v>1.0</v>
      </c>
      <c r="H37" s="38">
        <v>3.0</v>
      </c>
      <c r="I37" s="39"/>
      <c r="J37" s="39"/>
    </row>
    <row r="38" ht="15.75" customHeight="1">
      <c r="A38" s="36" t="s">
        <v>78</v>
      </c>
      <c r="B38" s="36" t="s">
        <v>137</v>
      </c>
      <c r="C38" s="36">
        <v>2.0</v>
      </c>
      <c r="D38" s="36">
        <v>36.0</v>
      </c>
      <c r="E38" s="37">
        <v>0.84</v>
      </c>
      <c r="F38" s="36" t="s">
        <v>422</v>
      </c>
      <c r="G38" s="38">
        <v>1.0</v>
      </c>
      <c r="H38" s="38">
        <v>3.0</v>
      </c>
      <c r="I38" s="39"/>
      <c r="J38" s="39"/>
    </row>
    <row r="39" ht="15.75" customHeight="1">
      <c r="A39" s="36" t="s">
        <v>157</v>
      </c>
      <c r="B39" s="36" t="s">
        <v>949</v>
      </c>
      <c r="C39" s="36">
        <v>2.0</v>
      </c>
      <c r="D39" s="36">
        <v>44.0</v>
      </c>
      <c r="E39" s="37">
        <v>0.69</v>
      </c>
      <c r="F39" s="36" t="s">
        <v>951</v>
      </c>
      <c r="G39" s="38">
        <v>1.0</v>
      </c>
      <c r="H39" s="38">
        <v>2.0</v>
      </c>
      <c r="I39" s="39"/>
      <c r="J39" s="39"/>
    </row>
    <row r="40" ht="15.75" customHeight="1">
      <c r="A40" s="36" t="s">
        <v>157</v>
      </c>
      <c r="B40" s="36" t="s">
        <v>952</v>
      </c>
      <c r="C40" s="36">
        <v>2.0</v>
      </c>
      <c r="D40" s="36">
        <v>96.0</v>
      </c>
      <c r="E40" s="37">
        <v>0.63</v>
      </c>
      <c r="F40" s="36" t="s">
        <v>608</v>
      </c>
      <c r="G40" s="38">
        <v>1.0</v>
      </c>
      <c r="H40" s="38">
        <v>2.0</v>
      </c>
      <c r="I40" s="39"/>
      <c r="J40" s="39"/>
    </row>
    <row r="41" ht="15.75" customHeight="1">
      <c r="A41" s="36" t="s">
        <v>176</v>
      </c>
      <c r="B41" s="36" t="s">
        <v>953</v>
      </c>
      <c r="C41" s="36">
        <v>2.0</v>
      </c>
      <c r="D41" s="36">
        <v>99.0</v>
      </c>
      <c r="E41" s="37">
        <v>0.61</v>
      </c>
      <c r="F41" s="36" t="s">
        <v>954</v>
      </c>
      <c r="G41" s="38">
        <v>1.0</v>
      </c>
      <c r="H41" s="38">
        <v>2.0</v>
      </c>
      <c r="I41" s="39"/>
      <c r="J41" s="39"/>
    </row>
    <row r="42" ht="15.75" customHeight="1">
      <c r="A42" s="36" t="s">
        <v>157</v>
      </c>
      <c r="B42" s="36" t="s">
        <v>955</v>
      </c>
      <c r="C42" s="36">
        <v>2.0</v>
      </c>
      <c r="D42" s="36">
        <v>56.0</v>
      </c>
      <c r="E42" s="37">
        <v>0.54</v>
      </c>
      <c r="F42" s="36" t="s">
        <v>252</v>
      </c>
      <c r="G42" s="38">
        <v>1.0</v>
      </c>
      <c r="H42" s="38">
        <v>2.0</v>
      </c>
      <c r="I42" s="39"/>
      <c r="J42" s="39"/>
    </row>
    <row r="43" ht="15.75" customHeight="1">
      <c r="A43" s="36" t="s">
        <v>157</v>
      </c>
      <c r="B43" s="36" t="s">
        <v>957</v>
      </c>
      <c r="C43" s="36">
        <v>2.0</v>
      </c>
      <c r="D43" s="36">
        <v>61.0</v>
      </c>
      <c r="E43" s="37">
        <v>0.5</v>
      </c>
      <c r="F43" s="36" t="s">
        <v>958</v>
      </c>
      <c r="G43" s="38">
        <v>1.0</v>
      </c>
      <c r="H43" s="38">
        <v>2.0</v>
      </c>
      <c r="I43" s="39"/>
      <c r="J43" s="39"/>
    </row>
    <row r="44" ht="15.75" customHeight="1">
      <c r="A44" s="36" t="s">
        <v>176</v>
      </c>
      <c r="B44" s="36" t="s">
        <v>959</v>
      </c>
      <c r="C44" s="36">
        <v>2.0</v>
      </c>
      <c r="D44" s="36">
        <v>83.0</v>
      </c>
      <c r="E44" s="37">
        <v>0.37</v>
      </c>
      <c r="F44" s="36" t="s">
        <v>453</v>
      </c>
      <c r="G44" s="38">
        <v>1.0</v>
      </c>
      <c r="H44" s="38">
        <v>2.0</v>
      </c>
      <c r="I44" s="39"/>
      <c r="J44" s="39"/>
    </row>
    <row r="45" ht="15.75" customHeight="1">
      <c r="A45" s="36" t="s">
        <v>157</v>
      </c>
      <c r="B45" s="36" t="s">
        <v>960</v>
      </c>
      <c r="C45" s="36">
        <v>2.0</v>
      </c>
      <c r="D45" s="36">
        <v>96.0</v>
      </c>
      <c r="E45" s="37">
        <v>0.32</v>
      </c>
      <c r="F45" s="36" t="s">
        <v>961</v>
      </c>
      <c r="G45" s="38">
        <v>1.0</v>
      </c>
      <c r="H45" s="38">
        <v>2.0</v>
      </c>
      <c r="I45" s="39"/>
      <c r="J45" s="39"/>
    </row>
    <row r="46" ht="15.75" customHeight="1">
      <c r="A46" s="36" t="s">
        <v>176</v>
      </c>
      <c r="B46" s="36" t="s">
        <v>962</v>
      </c>
      <c r="C46" s="36">
        <v>2.0</v>
      </c>
      <c r="D46" s="36">
        <v>98.0</v>
      </c>
      <c r="E46" s="37">
        <v>0.31</v>
      </c>
      <c r="F46" s="36" t="s">
        <v>208</v>
      </c>
      <c r="G46" s="38">
        <v>1.0</v>
      </c>
      <c r="H46" s="38">
        <v>2.0</v>
      </c>
      <c r="I46" s="39"/>
      <c r="J46" s="39"/>
    </row>
    <row r="47" ht="15.75" customHeight="1">
      <c r="A47" s="36" t="s">
        <v>157</v>
      </c>
      <c r="B47" s="36" t="s">
        <v>963</v>
      </c>
      <c r="C47" s="36">
        <v>2.0</v>
      </c>
      <c r="D47" s="36">
        <v>101.0</v>
      </c>
      <c r="E47" s="37">
        <v>0.3</v>
      </c>
      <c r="F47" s="36" t="s">
        <v>965</v>
      </c>
      <c r="G47" s="38">
        <v>1.0</v>
      </c>
      <c r="H47" s="38">
        <v>2.0</v>
      </c>
      <c r="I47" s="39"/>
      <c r="J47" s="39"/>
    </row>
    <row r="48" ht="15.75" customHeight="1">
      <c r="A48" s="36" t="s">
        <v>41</v>
      </c>
      <c r="B48" s="36" t="s">
        <v>64</v>
      </c>
      <c r="C48" s="36">
        <v>2.0</v>
      </c>
      <c r="D48" s="36">
        <v>340.0</v>
      </c>
      <c r="E48" s="37">
        <v>0.25</v>
      </c>
      <c r="F48" s="36" t="s">
        <v>603</v>
      </c>
      <c r="G48" s="38">
        <v>1.0</v>
      </c>
      <c r="H48" s="38">
        <v>2.0</v>
      </c>
      <c r="I48" s="39"/>
      <c r="J48" s="39"/>
    </row>
    <row r="49" ht="15.75" customHeight="1">
      <c r="A49" s="36" t="s">
        <v>176</v>
      </c>
      <c r="B49" s="36" t="s">
        <v>967</v>
      </c>
      <c r="C49" s="36">
        <v>2.0</v>
      </c>
      <c r="D49" s="36">
        <v>134.0</v>
      </c>
      <c r="E49" s="37">
        <v>0.23</v>
      </c>
      <c r="F49" s="36" t="s">
        <v>205</v>
      </c>
      <c r="G49" s="38">
        <v>1.0</v>
      </c>
      <c r="H49" s="38">
        <v>2.0</v>
      </c>
      <c r="I49" s="39"/>
      <c r="J49" s="39"/>
    </row>
    <row r="50" ht="15.75" customHeight="1">
      <c r="A50" s="36" t="s">
        <v>176</v>
      </c>
      <c r="B50" s="36" t="s">
        <v>968</v>
      </c>
      <c r="C50" s="36">
        <v>2.0</v>
      </c>
      <c r="D50" s="36">
        <v>163.0</v>
      </c>
      <c r="E50" s="37">
        <v>0.19</v>
      </c>
      <c r="F50" s="36" t="s">
        <v>205</v>
      </c>
      <c r="G50" s="38">
        <v>1.0</v>
      </c>
      <c r="H50" s="38">
        <v>2.0</v>
      </c>
      <c r="I50" s="39"/>
      <c r="J50" s="39"/>
    </row>
    <row r="51" ht="15.75" customHeight="1">
      <c r="A51" s="36" t="s">
        <v>157</v>
      </c>
      <c r="B51" s="36" t="s">
        <v>970</v>
      </c>
      <c r="C51" s="36">
        <v>2.0</v>
      </c>
      <c r="D51" s="36">
        <v>206.0</v>
      </c>
      <c r="E51" s="37">
        <v>0.15</v>
      </c>
      <c r="F51" s="36" t="s">
        <v>160</v>
      </c>
      <c r="G51" s="38">
        <v>1.0</v>
      </c>
      <c r="H51" s="38">
        <v>2.0</v>
      </c>
      <c r="I51" s="39"/>
      <c r="J51" s="39"/>
    </row>
    <row r="52" ht="15.75" customHeight="1">
      <c r="A52" s="36" t="s">
        <v>157</v>
      </c>
      <c r="B52" s="36" t="s">
        <v>971</v>
      </c>
      <c r="C52" s="36">
        <v>2.0</v>
      </c>
      <c r="D52" s="36">
        <v>216.0</v>
      </c>
      <c r="E52" s="37">
        <v>0.14</v>
      </c>
      <c r="F52" s="36" t="s">
        <v>242</v>
      </c>
      <c r="G52" s="38">
        <v>1.0</v>
      </c>
      <c r="H52" s="38">
        <v>2.0</v>
      </c>
      <c r="I52" s="39"/>
      <c r="J52" s="39"/>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52"/>
  <mergeCells count="2">
    <mergeCell ref="A1:J1"/>
    <mergeCell ref="A2:J2"/>
  </mergeCells>
  <dataValidations>
    <dataValidation type="list" allowBlank="1" sqref="I5:I52">
      <formula1>"ADD,SKIP - break room,SKIP - one-off,ALREADY COVERED,NEED INFO"</formula1>
    </dataValidation>
  </dataValidations>
  <printOptions/>
  <pageMargins bottom="1.0" footer="0.0" header="0.0" left="0.75" right="0.75" top="1.0"/>
  <pageSetup orientation="landscape"/>
  <drawing r:id="rId1"/>
</worksheet>
</file>